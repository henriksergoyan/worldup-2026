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ate1904="1" codeName="Workbook________" hidePivotFieldList="1"/>
  <mc:AlternateContent xmlns:mc="http://schemas.openxmlformats.org/markup-compatibility/2006">
    <mc:Choice Requires="x15">
      <x15ac:absPath xmlns:x15ac="http://schemas.microsoft.com/office/spreadsheetml/2010/11/ac" url="/Users/Tigran/Downloads/"/>
    </mc:Choice>
  </mc:AlternateContent>
  <xr:revisionPtr revIDLastSave="0" documentId="13_ncr:1_{0D36109B-A015-244F-A20B-4410138DBABC}" xr6:coauthVersionLast="47" xr6:coauthVersionMax="47" xr10:uidLastSave="{00000000-0000-0000-0000-000000000000}"/>
  <bookViews>
    <workbookView xWindow="0" yWindow="460" windowWidth="25600" windowHeight="15540" tabRatio="709" activeTab="1" xr2:uid="{00000000-000D-0000-FFFF-FFFF00000000}"/>
  </bookViews>
  <sheets>
    <sheet name="Rankings_old" sheetId="1" state="hidden" r:id="rId1"/>
    <sheet name="Rankings" sheetId="2" r:id="rId2"/>
    <sheet name="Names" sheetId="3" state="hidden" r:id="rId3"/>
    <sheet name="Group Stage" sheetId="4" r:id="rId4"/>
    <sheet name="Sheet1" sheetId="5" state="hidden" r:id="rId5"/>
    <sheet name="Playoff &amp; Winner" sheetId="6" r:id="rId6"/>
    <sheet name="Playoff Stage" sheetId="7" r:id="rId7"/>
    <sheet name="ToR" sheetId="8" r:id="rId8"/>
  </sheets>
  <externalReferences>
    <externalReference r:id="rId9"/>
  </externalReferences>
  <definedNames>
    <definedName name="Flag1">INDIRECT('[1]Countries and Timezone'!$E$7)</definedName>
    <definedName name="Flag2">INDIRECT('[1]Countries and Timezone'!$E$8)</definedName>
    <definedName name="Flag3">INDIRECT('[1]Countries and Timezone'!$E$9)</definedName>
    <definedName name="Flag4">INDIRECT('[1]Countries and Timezone'!$E$10)</definedName>
    <definedName name="Ranks">OFFSET(Rankings_old!$A$1,0,0,COUNTA(Rankings_old!$A:$A),7)</definedName>
  </definedNames>
  <calcPr calcId="191029" forceFullCalc="1"/>
  <pivotCaches>
    <pivotCache cacheId="6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67" i="7" l="1"/>
  <c r="DM67" i="7"/>
  <c r="DP66" i="7"/>
  <c r="DO66" i="7"/>
  <c r="DP65" i="7"/>
  <c r="DO65" i="7"/>
  <c r="DP64" i="7"/>
  <c r="DO64" i="7"/>
  <c r="DN63" i="7"/>
  <c r="DM63" i="7"/>
  <c r="DP62" i="7"/>
  <c r="DO62" i="7"/>
  <c r="DP61" i="7"/>
  <c r="DO61" i="7"/>
  <c r="DP60" i="7"/>
  <c r="DO60" i="7"/>
  <c r="DN59" i="7"/>
  <c r="DM59" i="7"/>
  <c r="DP58" i="7"/>
  <c r="DO58" i="7"/>
  <c r="DP57" i="7"/>
  <c r="DO57" i="7"/>
  <c r="DP56" i="7"/>
  <c r="DO56" i="7"/>
  <c r="DN55" i="7"/>
  <c r="DM55" i="7"/>
  <c r="DP54" i="7"/>
  <c r="DO54" i="7"/>
  <c r="DP53" i="7"/>
  <c r="DO53" i="7"/>
  <c r="DP52" i="7"/>
  <c r="DO52" i="7"/>
  <c r="DN51" i="7"/>
  <c r="DM51" i="7"/>
  <c r="DP50" i="7"/>
  <c r="DO50" i="7"/>
  <c r="DP49" i="7"/>
  <c r="DO49" i="7"/>
  <c r="DP48" i="7"/>
  <c r="DO48" i="7"/>
  <c r="DN47" i="7"/>
  <c r="DM47" i="7"/>
  <c r="DP46" i="7"/>
  <c r="DO46" i="7"/>
  <c r="DP45" i="7"/>
  <c r="DO45" i="7"/>
  <c r="DP44" i="7"/>
  <c r="DO44" i="7"/>
  <c r="DN43" i="7"/>
  <c r="DM43" i="7"/>
  <c r="DP42" i="7"/>
  <c r="DO42" i="7"/>
  <c r="DP41" i="7"/>
  <c r="DO41" i="7"/>
  <c r="DP40" i="7"/>
  <c r="DO40" i="7"/>
  <c r="DN39" i="7"/>
  <c r="DM39" i="7"/>
  <c r="DP38" i="7"/>
  <c r="DO38" i="7"/>
  <c r="DP37" i="7"/>
  <c r="DO37" i="7"/>
  <c r="DP36" i="7"/>
  <c r="DO36" i="7"/>
  <c r="DN35" i="7"/>
  <c r="DM35" i="7"/>
  <c r="DP34" i="7"/>
  <c r="DO34" i="7"/>
  <c r="DP33" i="7"/>
  <c r="DO33" i="7"/>
  <c r="DP32" i="7"/>
  <c r="DO32" i="7"/>
  <c r="DN31" i="7"/>
  <c r="DM31" i="7"/>
  <c r="DP30" i="7"/>
  <c r="DO30" i="7"/>
  <c r="DP29" i="7"/>
  <c r="DO29" i="7"/>
  <c r="DP28" i="7"/>
  <c r="DO28" i="7"/>
  <c r="DN27" i="7"/>
  <c r="DM27" i="7"/>
  <c r="DP26" i="7"/>
  <c r="DO26" i="7"/>
  <c r="DP25" i="7"/>
  <c r="DO25" i="7"/>
  <c r="DP24" i="7"/>
  <c r="DO24" i="7"/>
  <c r="DN23" i="7"/>
  <c r="DM23" i="7"/>
  <c r="DP22" i="7"/>
  <c r="DO22" i="7"/>
  <c r="DP21" i="7"/>
  <c r="DO21" i="7"/>
  <c r="DP20" i="7"/>
  <c r="DO20" i="7"/>
  <c r="DN19" i="7"/>
  <c r="DM19" i="7"/>
  <c r="DP18" i="7"/>
  <c r="DO18" i="7"/>
  <c r="DP17" i="7"/>
  <c r="DO17" i="7"/>
  <c r="DP16" i="7"/>
  <c r="DO16" i="7"/>
  <c r="DN15" i="7"/>
  <c r="DM15" i="7"/>
  <c r="DP14" i="7"/>
  <c r="DO14" i="7"/>
  <c r="DP13" i="7"/>
  <c r="DO13" i="7"/>
  <c r="DP12" i="7"/>
  <c r="DO12" i="7"/>
  <c r="DN11" i="7"/>
  <c r="DM11" i="7"/>
  <c r="DP10" i="7"/>
  <c r="DO10" i="7"/>
  <c r="DP9" i="7"/>
  <c r="DO9" i="7"/>
  <c r="DP8" i="7"/>
  <c r="DO8" i="7"/>
  <c r="DN7" i="7"/>
  <c r="DM7" i="7"/>
  <c r="DP6" i="7"/>
  <c r="DO6" i="7"/>
  <c r="DP5" i="7"/>
  <c r="DO5" i="7"/>
  <c r="DP4" i="7"/>
  <c r="DO4" i="7"/>
  <c r="DK51" i="6"/>
  <c r="DJ51" i="6"/>
  <c r="DK50" i="6"/>
  <c r="DJ50" i="6"/>
  <c r="DK49" i="6"/>
  <c r="DJ49" i="6"/>
  <c r="DK48" i="6"/>
  <c r="DJ48" i="6"/>
  <c r="DK47" i="6"/>
  <c r="DJ47" i="6"/>
  <c r="DK46" i="6"/>
  <c r="DJ46" i="6"/>
  <c r="DK45" i="6"/>
  <c r="DJ45" i="6"/>
  <c r="DK44" i="6"/>
  <c r="DJ44" i="6"/>
  <c r="DK43" i="6"/>
  <c r="DJ43" i="6"/>
  <c r="DK42" i="6"/>
  <c r="DJ42" i="6"/>
  <c r="DK41" i="6"/>
  <c r="DJ41" i="6"/>
  <c r="DK40" i="6"/>
  <c r="DJ40" i="6"/>
  <c r="DK39" i="6"/>
  <c r="DJ39" i="6"/>
  <c r="DK38" i="6"/>
  <c r="DJ38" i="6"/>
  <c r="DK37" i="6"/>
  <c r="DJ37" i="6"/>
  <c r="DK36" i="6"/>
  <c r="DJ36" i="6"/>
  <c r="DK35" i="6"/>
  <c r="DJ35" i="6"/>
  <c r="DK34" i="6"/>
  <c r="DJ34" i="6"/>
  <c r="DK33" i="6"/>
  <c r="DJ33" i="6"/>
  <c r="DK32" i="6"/>
  <c r="DJ32" i="6"/>
  <c r="DK31" i="6"/>
  <c r="DJ31" i="6"/>
  <c r="DK30" i="6"/>
  <c r="DJ30" i="6"/>
  <c r="DK29" i="6"/>
  <c r="DJ29" i="6"/>
  <c r="DK28" i="6"/>
  <c r="DJ28" i="6"/>
  <c r="DK27" i="6"/>
  <c r="DJ27" i="6"/>
  <c r="DK26" i="6"/>
  <c r="DJ26" i="6"/>
  <c r="DK25" i="6"/>
  <c r="DJ25" i="6"/>
  <c r="DK24" i="6"/>
  <c r="DJ24" i="6"/>
  <c r="DK23" i="6"/>
  <c r="DJ23" i="6"/>
  <c r="DK22" i="6"/>
  <c r="DJ22" i="6"/>
  <c r="DK21" i="6"/>
  <c r="DJ21" i="6"/>
  <c r="DK20" i="6"/>
  <c r="DJ20" i="6"/>
  <c r="DK19" i="6"/>
  <c r="DJ19" i="6"/>
  <c r="DK18" i="6"/>
  <c r="DJ18" i="6"/>
  <c r="DK17" i="6"/>
  <c r="DJ17" i="6"/>
  <c r="DK16" i="6"/>
  <c r="DJ16" i="6"/>
  <c r="DK15" i="6"/>
  <c r="DJ15" i="6"/>
  <c r="DK14" i="6"/>
  <c r="DJ14" i="6"/>
  <c r="DK13" i="6"/>
  <c r="DJ13" i="6"/>
  <c r="DK12" i="6"/>
  <c r="DJ12" i="6"/>
  <c r="DK11" i="6"/>
  <c r="DJ11" i="6"/>
  <c r="DK10" i="6"/>
  <c r="DJ10" i="6"/>
  <c r="DK9" i="6"/>
  <c r="DJ9" i="6"/>
  <c r="DK8" i="6"/>
  <c r="DJ8" i="6"/>
  <c r="DK7" i="6"/>
  <c r="DJ7" i="6"/>
  <c r="DK6" i="6"/>
  <c r="DJ6" i="6"/>
  <c r="DK5" i="6"/>
  <c r="DJ5" i="6"/>
  <c r="DK4" i="6"/>
  <c r="DJ4" i="6"/>
  <c r="DO75" i="4"/>
  <c r="DO74" i="4"/>
  <c r="DO73" i="4"/>
  <c r="DO72" i="4"/>
  <c r="DO71" i="4"/>
  <c r="DO70" i="4"/>
  <c r="DO69" i="4"/>
  <c r="DO68" i="4"/>
  <c r="DO67" i="4"/>
  <c r="DO66" i="4"/>
  <c r="DO65" i="4"/>
  <c r="DO64" i="4"/>
  <c r="DO63" i="4"/>
  <c r="DO62" i="4"/>
  <c r="DO61" i="4"/>
  <c r="DO60" i="4"/>
  <c r="DO59" i="4"/>
  <c r="DO58" i="4"/>
  <c r="DO57" i="4"/>
  <c r="DO56" i="4"/>
  <c r="DO55" i="4"/>
  <c r="DO54" i="4"/>
  <c r="DO53" i="4"/>
  <c r="DO52" i="4"/>
  <c r="DO51" i="4"/>
  <c r="DO50" i="4"/>
  <c r="DO49" i="4"/>
  <c r="DO48" i="4"/>
  <c r="DO47" i="4"/>
  <c r="DO46" i="4"/>
  <c r="DO45" i="4"/>
  <c r="DO44" i="4"/>
  <c r="DO43" i="4"/>
  <c r="DO42" i="4"/>
  <c r="DO41" i="4"/>
  <c r="DO40" i="4"/>
  <c r="DO39" i="4"/>
  <c r="DO38" i="4"/>
  <c r="DO37" i="4"/>
  <c r="DO36" i="4"/>
  <c r="DO35" i="4"/>
  <c r="DO34" i="4"/>
  <c r="DO33" i="4"/>
  <c r="DO32" i="4"/>
  <c r="DO31" i="4"/>
  <c r="DO30" i="4"/>
  <c r="DO29" i="4"/>
  <c r="DO28" i="4"/>
  <c r="DO27" i="4"/>
  <c r="DO26" i="4"/>
  <c r="DO25" i="4"/>
  <c r="DO24" i="4"/>
  <c r="DO23" i="4"/>
  <c r="DO22" i="4"/>
  <c r="DO21" i="4"/>
  <c r="DO20" i="4"/>
  <c r="DO19" i="4"/>
  <c r="DO18" i="4"/>
  <c r="DO17" i="4"/>
  <c r="DO16" i="4"/>
  <c r="DO15" i="4"/>
  <c r="DO14" i="4"/>
  <c r="DO13" i="4"/>
  <c r="DO12" i="4"/>
  <c r="DO11" i="4"/>
  <c r="DO10" i="4"/>
  <c r="DO9" i="4"/>
  <c r="DO8" i="4"/>
  <c r="DO7" i="4"/>
  <c r="DO6" i="4"/>
  <c r="DO5" i="4"/>
  <c r="DO4" i="4"/>
  <c r="DJ67" i="7"/>
  <c r="DI67" i="7"/>
  <c r="DF67" i="7"/>
  <c r="DE67" i="7"/>
  <c r="DB67" i="7"/>
  <c r="DA67" i="7"/>
  <c r="CX67" i="7"/>
  <c r="CW67" i="7"/>
  <c r="CT67" i="7"/>
  <c r="CS67" i="7"/>
  <c r="CP67" i="7"/>
  <c r="CO67" i="7"/>
  <c r="CL67" i="7"/>
  <c r="CK67" i="7"/>
  <c r="CH67" i="7"/>
  <c r="CG67" i="7"/>
  <c r="CD67" i="7"/>
  <c r="CC67" i="7"/>
  <c r="BZ67" i="7"/>
  <c r="BY67" i="7"/>
  <c r="BV67" i="7"/>
  <c r="BU67" i="7"/>
  <c r="BR67" i="7"/>
  <c r="BQ67" i="7"/>
  <c r="BN67" i="7"/>
  <c r="BM67" i="7"/>
  <c r="BJ67" i="7"/>
  <c r="BI67" i="7"/>
  <c r="BF67" i="7"/>
  <c r="BE67" i="7"/>
  <c r="BB67" i="7"/>
  <c r="BA67" i="7"/>
  <c r="AX67" i="7"/>
  <c r="AW67" i="7"/>
  <c r="AT67" i="7"/>
  <c r="AS67" i="7"/>
  <c r="AP67" i="7"/>
  <c r="AO67" i="7"/>
  <c r="AL67" i="7"/>
  <c r="AK67" i="7"/>
  <c r="AH67" i="7"/>
  <c r="AG67" i="7"/>
  <c r="AD67" i="7"/>
  <c r="AC67" i="7"/>
  <c r="Z67" i="7"/>
  <c r="Y67" i="7"/>
  <c r="V67" i="7"/>
  <c r="U67" i="7"/>
  <c r="R67" i="7"/>
  <c r="Q67" i="7"/>
  <c r="N67" i="7"/>
  <c r="M67" i="7"/>
  <c r="J67" i="7"/>
  <c r="I67" i="7"/>
  <c r="H67" i="7"/>
  <c r="DL66" i="7"/>
  <c r="DK66" i="7"/>
  <c r="DH66" i="7"/>
  <c r="DG66" i="7"/>
  <c r="DD66" i="7"/>
  <c r="DC66" i="7"/>
  <c r="CZ66" i="7"/>
  <c r="CY66" i="7"/>
  <c r="CV66" i="7"/>
  <c r="CU66" i="7"/>
  <c r="CR66" i="7"/>
  <c r="CQ66" i="7"/>
  <c r="CN66" i="7"/>
  <c r="CM66" i="7"/>
  <c r="CJ66" i="7"/>
  <c r="CI66" i="7"/>
  <c r="CF66" i="7"/>
  <c r="CE66" i="7"/>
  <c r="CB66" i="7"/>
  <c r="CA66" i="7"/>
  <c r="BX66" i="7"/>
  <c r="BW66" i="7"/>
  <c r="BT66" i="7"/>
  <c r="BS66" i="7"/>
  <c r="BP66" i="7"/>
  <c r="BO66" i="7"/>
  <c r="BL66" i="7"/>
  <c r="BK66" i="7"/>
  <c r="BH66" i="7"/>
  <c r="BG66" i="7"/>
  <c r="BD66" i="7"/>
  <c r="BC66" i="7"/>
  <c r="AZ66" i="7"/>
  <c r="AY66" i="7"/>
  <c r="AV66" i="7"/>
  <c r="AU66" i="7"/>
  <c r="AR66" i="7"/>
  <c r="AQ66" i="7"/>
  <c r="AN66" i="7"/>
  <c r="AM66" i="7"/>
  <c r="AJ66" i="7"/>
  <c r="AI66" i="7"/>
  <c r="AF66" i="7"/>
  <c r="AE66" i="7"/>
  <c r="AB66" i="7"/>
  <c r="AA66" i="7"/>
  <c r="X66" i="7"/>
  <c r="W66" i="7"/>
  <c r="T66" i="7"/>
  <c r="S66" i="7"/>
  <c r="P66" i="7"/>
  <c r="O66" i="7"/>
  <c r="L66" i="7"/>
  <c r="K66" i="7"/>
  <c r="H66" i="7"/>
  <c r="DL65" i="7"/>
  <c r="DK65" i="7"/>
  <c r="DH65" i="7"/>
  <c r="DG65" i="7"/>
  <c r="DD65" i="7"/>
  <c r="DC65" i="7"/>
  <c r="CZ65" i="7"/>
  <c r="CY65" i="7"/>
  <c r="CV65" i="7"/>
  <c r="CU65" i="7"/>
  <c r="CR65" i="7"/>
  <c r="CQ65" i="7"/>
  <c r="CN65" i="7"/>
  <c r="CM65" i="7"/>
  <c r="CJ65" i="7"/>
  <c r="CI65" i="7"/>
  <c r="CF65" i="7"/>
  <c r="CE65" i="7"/>
  <c r="CB65" i="7"/>
  <c r="CA65" i="7"/>
  <c r="BX65" i="7"/>
  <c r="BW65" i="7"/>
  <c r="BT65" i="7"/>
  <c r="BS65" i="7"/>
  <c r="BP65" i="7"/>
  <c r="BO65" i="7"/>
  <c r="BL65" i="7"/>
  <c r="BK65" i="7"/>
  <c r="BH65" i="7"/>
  <c r="BG65" i="7"/>
  <c r="BD65" i="7"/>
  <c r="BC65" i="7"/>
  <c r="AZ65" i="7"/>
  <c r="AY65" i="7"/>
  <c r="AV65" i="7"/>
  <c r="AU65" i="7"/>
  <c r="AR65" i="7"/>
  <c r="AQ65" i="7"/>
  <c r="AN65" i="7"/>
  <c r="AM65" i="7"/>
  <c r="AJ65" i="7"/>
  <c r="AI65" i="7"/>
  <c r="AF65" i="7"/>
  <c r="AE65" i="7"/>
  <c r="AB65" i="7"/>
  <c r="AA65" i="7"/>
  <c r="X65" i="7"/>
  <c r="W65" i="7"/>
  <c r="T65" i="7"/>
  <c r="S65" i="7"/>
  <c r="P65" i="7"/>
  <c r="O65" i="7"/>
  <c r="L65" i="7"/>
  <c r="K65" i="7"/>
  <c r="H65" i="7"/>
  <c r="DL64" i="7"/>
  <c r="DK64" i="7"/>
  <c r="DH64" i="7"/>
  <c r="DG64" i="7"/>
  <c r="DD64" i="7"/>
  <c r="DC64" i="7"/>
  <c r="CZ64" i="7"/>
  <c r="CY64" i="7"/>
  <c r="CV64" i="7"/>
  <c r="CU64" i="7"/>
  <c r="CR64" i="7"/>
  <c r="CQ64" i="7"/>
  <c r="CN64" i="7"/>
  <c r="CM64" i="7"/>
  <c r="CJ64" i="7"/>
  <c r="CI64" i="7"/>
  <c r="CF64" i="7"/>
  <c r="CE64" i="7"/>
  <c r="CB64" i="7"/>
  <c r="CA64" i="7"/>
  <c r="BX64" i="7"/>
  <c r="BW64" i="7"/>
  <c r="BT64" i="7"/>
  <c r="BS64" i="7"/>
  <c r="BP64" i="7"/>
  <c r="BO64" i="7"/>
  <c r="BL64" i="7"/>
  <c r="BK64" i="7"/>
  <c r="BH64" i="7"/>
  <c r="BG64" i="7"/>
  <c r="BD64" i="7"/>
  <c r="BC64" i="7"/>
  <c r="AZ64" i="7"/>
  <c r="AY64" i="7"/>
  <c r="AV64" i="7"/>
  <c r="AU64" i="7"/>
  <c r="AR64" i="7"/>
  <c r="AQ64" i="7"/>
  <c r="AN64" i="7"/>
  <c r="AM64" i="7"/>
  <c r="AJ64" i="7"/>
  <c r="AI64" i="7"/>
  <c r="AF64" i="7"/>
  <c r="AE64" i="7"/>
  <c r="AB64" i="7"/>
  <c r="AA64" i="7"/>
  <c r="X64" i="7"/>
  <c r="W64" i="7"/>
  <c r="T64" i="7"/>
  <c r="S64" i="7"/>
  <c r="P64" i="7"/>
  <c r="O64" i="7"/>
  <c r="L64" i="7"/>
  <c r="K64" i="7"/>
  <c r="H64" i="7"/>
  <c r="DJ63" i="7"/>
  <c r="DI63" i="7"/>
  <c r="DF63" i="7"/>
  <c r="DE63" i="7"/>
  <c r="DB63" i="7"/>
  <c r="DA63" i="7"/>
  <c r="CX63" i="7"/>
  <c r="CW63" i="7"/>
  <c r="CT63" i="7"/>
  <c r="CS63" i="7"/>
  <c r="CP63" i="7"/>
  <c r="CO63" i="7"/>
  <c r="CL63" i="7"/>
  <c r="CK63" i="7"/>
  <c r="CH63" i="7"/>
  <c r="CG63" i="7"/>
  <c r="CD63" i="7"/>
  <c r="CC63" i="7"/>
  <c r="BZ63" i="7"/>
  <c r="BY63" i="7"/>
  <c r="BV63" i="7"/>
  <c r="BU63" i="7"/>
  <c r="BR63" i="7"/>
  <c r="BQ63" i="7"/>
  <c r="BN63" i="7"/>
  <c r="BM63" i="7"/>
  <c r="BJ63" i="7"/>
  <c r="BI63" i="7"/>
  <c r="BF63" i="7"/>
  <c r="BE63" i="7"/>
  <c r="BB63" i="7"/>
  <c r="BA63" i="7"/>
  <c r="AX63" i="7"/>
  <c r="AW63" i="7"/>
  <c r="AT63" i="7"/>
  <c r="AS63" i="7"/>
  <c r="AP63" i="7"/>
  <c r="AO63" i="7"/>
  <c r="AL63" i="7"/>
  <c r="AK63" i="7"/>
  <c r="AH63" i="7"/>
  <c r="AG63" i="7"/>
  <c r="AD63" i="7"/>
  <c r="AC63" i="7"/>
  <c r="Z63" i="7"/>
  <c r="Y63" i="7"/>
  <c r="V63" i="7"/>
  <c r="U63" i="7"/>
  <c r="R63" i="7"/>
  <c r="Q63" i="7"/>
  <c r="N63" i="7"/>
  <c r="M63" i="7"/>
  <c r="J63" i="7"/>
  <c r="I63" i="7"/>
  <c r="H63" i="7"/>
  <c r="DL62" i="7"/>
  <c r="DK62" i="7"/>
  <c r="DH62" i="7"/>
  <c r="DG62" i="7"/>
  <c r="DD62" i="7"/>
  <c r="DC62" i="7"/>
  <c r="CZ62" i="7"/>
  <c r="CY62" i="7"/>
  <c r="CV62" i="7"/>
  <c r="CU62" i="7"/>
  <c r="CR62" i="7"/>
  <c r="CQ62" i="7"/>
  <c r="CN62" i="7"/>
  <c r="CM62" i="7"/>
  <c r="CJ62" i="7"/>
  <c r="CI62" i="7"/>
  <c r="CF62" i="7"/>
  <c r="CE62" i="7"/>
  <c r="CB62" i="7"/>
  <c r="CA62" i="7"/>
  <c r="BX62" i="7"/>
  <c r="BW62" i="7"/>
  <c r="BT62" i="7"/>
  <c r="BS62" i="7"/>
  <c r="BP62" i="7"/>
  <c r="BO62" i="7"/>
  <c r="BL62" i="7"/>
  <c r="BK62" i="7"/>
  <c r="BH62" i="7"/>
  <c r="BG62" i="7"/>
  <c r="BD62" i="7"/>
  <c r="BC62" i="7"/>
  <c r="AZ62" i="7"/>
  <c r="AY62" i="7"/>
  <c r="AV62" i="7"/>
  <c r="AU62" i="7"/>
  <c r="AR62" i="7"/>
  <c r="AQ62" i="7"/>
  <c r="AN62" i="7"/>
  <c r="AM62" i="7"/>
  <c r="AJ62" i="7"/>
  <c r="AI62" i="7"/>
  <c r="AF62" i="7"/>
  <c r="AE62" i="7"/>
  <c r="AB62" i="7"/>
  <c r="AA62" i="7"/>
  <c r="X62" i="7"/>
  <c r="W62" i="7"/>
  <c r="T62" i="7"/>
  <c r="S62" i="7"/>
  <c r="P62" i="7"/>
  <c r="O62" i="7"/>
  <c r="L62" i="7"/>
  <c r="K62" i="7"/>
  <c r="H62" i="7"/>
  <c r="DL61" i="7"/>
  <c r="DK61" i="7"/>
  <c r="DH61" i="7"/>
  <c r="DG61" i="7"/>
  <c r="DD61" i="7"/>
  <c r="DC61" i="7"/>
  <c r="CZ61" i="7"/>
  <c r="CY61" i="7"/>
  <c r="CV61" i="7"/>
  <c r="CU61" i="7"/>
  <c r="CR61" i="7"/>
  <c r="CQ61" i="7"/>
  <c r="CN61" i="7"/>
  <c r="CM61" i="7"/>
  <c r="CJ61" i="7"/>
  <c r="CI61" i="7"/>
  <c r="CF61" i="7"/>
  <c r="CE61" i="7"/>
  <c r="CB61" i="7"/>
  <c r="CA61" i="7"/>
  <c r="BX61" i="7"/>
  <c r="BW61" i="7"/>
  <c r="BT61" i="7"/>
  <c r="BS61" i="7"/>
  <c r="BP61" i="7"/>
  <c r="BO61" i="7"/>
  <c r="BL61" i="7"/>
  <c r="BK61" i="7"/>
  <c r="BH61" i="7"/>
  <c r="BG61" i="7"/>
  <c r="BD61" i="7"/>
  <c r="BC61" i="7"/>
  <c r="AZ61" i="7"/>
  <c r="AY61" i="7"/>
  <c r="AV61" i="7"/>
  <c r="AU61" i="7"/>
  <c r="AR61" i="7"/>
  <c r="AQ61" i="7"/>
  <c r="AN61" i="7"/>
  <c r="AM61" i="7"/>
  <c r="AJ61" i="7"/>
  <c r="AI61" i="7"/>
  <c r="AF61" i="7"/>
  <c r="AE61" i="7"/>
  <c r="AB61" i="7"/>
  <c r="AA61" i="7"/>
  <c r="X61" i="7"/>
  <c r="W61" i="7"/>
  <c r="T61" i="7"/>
  <c r="S61" i="7"/>
  <c r="P61" i="7"/>
  <c r="O61" i="7"/>
  <c r="L61" i="7"/>
  <c r="K61" i="7"/>
  <c r="H61" i="7"/>
  <c r="DL60" i="7"/>
  <c r="DK60" i="7"/>
  <c r="DH60" i="7"/>
  <c r="DG60" i="7"/>
  <c r="DD60" i="7"/>
  <c r="DC60" i="7"/>
  <c r="CZ60" i="7"/>
  <c r="CY60" i="7"/>
  <c r="CV60" i="7"/>
  <c r="CU60" i="7"/>
  <c r="CR60" i="7"/>
  <c r="CQ60" i="7"/>
  <c r="CN60" i="7"/>
  <c r="CM60" i="7"/>
  <c r="CJ60" i="7"/>
  <c r="CI60" i="7"/>
  <c r="CF60" i="7"/>
  <c r="CE60" i="7"/>
  <c r="CB60" i="7"/>
  <c r="CA60" i="7"/>
  <c r="BX60" i="7"/>
  <c r="BW60" i="7"/>
  <c r="BT60" i="7"/>
  <c r="BS60" i="7"/>
  <c r="BP60" i="7"/>
  <c r="BO60" i="7"/>
  <c r="BL60" i="7"/>
  <c r="BK60" i="7"/>
  <c r="BH60" i="7"/>
  <c r="BG60" i="7"/>
  <c r="BD60" i="7"/>
  <c r="BC60" i="7"/>
  <c r="AZ60" i="7"/>
  <c r="AY60" i="7"/>
  <c r="AV60" i="7"/>
  <c r="AU60" i="7"/>
  <c r="AR60" i="7"/>
  <c r="AQ60" i="7"/>
  <c r="AN60" i="7"/>
  <c r="AM60" i="7"/>
  <c r="AJ60" i="7"/>
  <c r="AI60" i="7"/>
  <c r="AF60" i="7"/>
  <c r="AE60" i="7"/>
  <c r="AB60" i="7"/>
  <c r="AA60" i="7"/>
  <c r="X60" i="7"/>
  <c r="W60" i="7"/>
  <c r="T60" i="7"/>
  <c r="S60" i="7"/>
  <c r="P60" i="7"/>
  <c r="O60" i="7"/>
  <c r="L60" i="7"/>
  <c r="K60" i="7"/>
  <c r="H60" i="7"/>
  <c r="DJ59" i="7"/>
  <c r="DI59" i="7"/>
  <c r="DF59" i="7"/>
  <c r="DE59" i="7"/>
  <c r="DB59" i="7"/>
  <c r="DA59" i="7"/>
  <c r="CX59" i="7"/>
  <c r="CW59" i="7"/>
  <c r="CT59" i="7"/>
  <c r="CS59" i="7"/>
  <c r="CP59" i="7"/>
  <c r="CO59" i="7"/>
  <c r="CL59" i="7"/>
  <c r="CK59" i="7"/>
  <c r="CH59" i="7"/>
  <c r="CG59" i="7"/>
  <c r="CD59" i="7"/>
  <c r="CC59" i="7"/>
  <c r="BZ59" i="7"/>
  <c r="BY59" i="7"/>
  <c r="BV59" i="7"/>
  <c r="BU59" i="7"/>
  <c r="BR59" i="7"/>
  <c r="BQ59" i="7"/>
  <c r="BN59" i="7"/>
  <c r="BM59" i="7"/>
  <c r="BJ59" i="7"/>
  <c r="BI59" i="7"/>
  <c r="BF59" i="7"/>
  <c r="BE59" i="7"/>
  <c r="BB59" i="7"/>
  <c r="BA59" i="7"/>
  <c r="AX59" i="7"/>
  <c r="AW59" i="7"/>
  <c r="AT59" i="7"/>
  <c r="AS59" i="7"/>
  <c r="AP59" i="7"/>
  <c r="AO59" i="7"/>
  <c r="AL59" i="7"/>
  <c r="AK59" i="7"/>
  <c r="AH59" i="7"/>
  <c r="AG59" i="7"/>
  <c r="AD59" i="7"/>
  <c r="AC59" i="7"/>
  <c r="Z59" i="7"/>
  <c r="Y59" i="7"/>
  <c r="V59" i="7"/>
  <c r="U59" i="7"/>
  <c r="R59" i="7"/>
  <c r="Q59" i="7"/>
  <c r="N59" i="7"/>
  <c r="M59" i="7"/>
  <c r="J59" i="7"/>
  <c r="I59" i="7"/>
  <c r="H59" i="7"/>
  <c r="DL58" i="7"/>
  <c r="DK58" i="7"/>
  <c r="DH58" i="7"/>
  <c r="DG58" i="7"/>
  <c r="DD58" i="7"/>
  <c r="DC58" i="7"/>
  <c r="CZ58" i="7"/>
  <c r="CY58" i="7"/>
  <c r="CV58" i="7"/>
  <c r="CU58" i="7"/>
  <c r="CR58" i="7"/>
  <c r="CQ58" i="7"/>
  <c r="CN58" i="7"/>
  <c r="CM58" i="7"/>
  <c r="CJ58" i="7"/>
  <c r="CI58" i="7"/>
  <c r="CF58" i="7"/>
  <c r="CE58" i="7"/>
  <c r="CB58" i="7"/>
  <c r="CA58" i="7"/>
  <c r="BX58" i="7"/>
  <c r="BW58" i="7"/>
  <c r="BT58" i="7"/>
  <c r="BS58" i="7"/>
  <c r="BP58" i="7"/>
  <c r="BO58" i="7"/>
  <c r="BL58" i="7"/>
  <c r="BK58" i="7"/>
  <c r="BH58" i="7"/>
  <c r="BG58" i="7"/>
  <c r="BD58" i="7"/>
  <c r="BC58" i="7"/>
  <c r="AZ58" i="7"/>
  <c r="AY58" i="7"/>
  <c r="AV58" i="7"/>
  <c r="AU58" i="7"/>
  <c r="AR58" i="7"/>
  <c r="AQ58" i="7"/>
  <c r="AN58" i="7"/>
  <c r="AM58" i="7"/>
  <c r="AJ58" i="7"/>
  <c r="AI58" i="7"/>
  <c r="AF58" i="7"/>
  <c r="AE58" i="7"/>
  <c r="AB58" i="7"/>
  <c r="AA58" i="7"/>
  <c r="X58" i="7"/>
  <c r="W58" i="7"/>
  <c r="T58" i="7"/>
  <c r="S58" i="7"/>
  <c r="P58" i="7"/>
  <c r="O58" i="7"/>
  <c r="L58" i="7"/>
  <c r="K58" i="7"/>
  <c r="H58" i="7"/>
  <c r="DL57" i="7"/>
  <c r="DK57" i="7"/>
  <c r="DH57" i="7"/>
  <c r="DG57" i="7"/>
  <c r="DD57" i="7"/>
  <c r="DC57" i="7"/>
  <c r="CZ57" i="7"/>
  <c r="CY57" i="7"/>
  <c r="CV57" i="7"/>
  <c r="CU57" i="7"/>
  <c r="CR57" i="7"/>
  <c r="CQ57" i="7"/>
  <c r="CN57" i="7"/>
  <c r="CM57" i="7"/>
  <c r="CJ57" i="7"/>
  <c r="CI57" i="7"/>
  <c r="CF57" i="7"/>
  <c r="CE57" i="7"/>
  <c r="CB57" i="7"/>
  <c r="CA57" i="7"/>
  <c r="BX57" i="7"/>
  <c r="BW57" i="7"/>
  <c r="BT57" i="7"/>
  <c r="BS57" i="7"/>
  <c r="BP57" i="7"/>
  <c r="BO57" i="7"/>
  <c r="BL57" i="7"/>
  <c r="BK57" i="7"/>
  <c r="BH57" i="7"/>
  <c r="BG57" i="7"/>
  <c r="BD57" i="7"/>
  <c r="BC57" i="7"/>
  <c r="AZ57" i="7"/>
  <c r="AY57" i="7"/>
  <c r="AV57" i="7"/>
  <c r="AU57" i="7"/>
  <c r="AR57" i="7"/>
  <c r="AQ57" i="7"/>
  <c r="AN57" i="7"/>
  <c r="AM57" i="7"/>
  <c r="AJ57" i="7"/>
  <c r="AI57" i="7"/>
  <c r="AF57" i="7"/>
  <c r="AE57" i="7"/>
  <c r="AB57" i="7"/>
  <c r="AA57" i="7"/>
  <c r="X57" i="7"/>
  <c r="W57" i="7"/>
  <c r="T57" i="7"/>
  <c r="S57" i="7"/>
  <c r="P57" i="7"/>
  <c r="O57" i="7"/>
  <c r="L57" i="7"/>
  <c r="K57" i="7"/>
  <c r="H57" i="7"/>
  <c r="DL56" i="7"/>
  <c r="DK56" i="7"/>
  <c r="DH56" i="7"/>
  <c r="DG56" i="7"/>
  <c r="DD56" i="7"/>
  <c r="DC56" i="7"/>
  <c r="CZ56" i="7"/>
  <c r="CY56" i="7"/>
  <c r="CV56" i="7"/>
  <c r="CU56" i="7"/>
  <c r="CR56" i="7"/>
  <c r="CQ56" i="7"/>
  <c r="CN56" i="7"/>
  <c r="CM56" i="7"/>
  <c r="CJ56" i="7"/>
  <c r="CI56" i="7"/>
  <c r="CF56" i="7"/>
  <c r="CE56" i="7"/>
  <c r="CB56" i="7"/>
  <c r="CA56" i="7"/>
  <c r="BX56" i="7"/>
  <c r="BW56" i="7"/>
  <c r="BT56" i="7"/>
  <c r="BS56" i="7"/>
  <c r="BP56" i="7"/>
  <c r="BO56" i="7"/>
  <c r="BL56" i="7"/>
  <c r="BK56" i="7"/>
  <c r="BH56" i="7"/>
  <c r="BG56" i="7"/>
  <c r="BD56" i="7"/>
  <c r="BC56" i="7"/>
  <c r="AZ56" i="7"/>
  <c r="AY56" i="7"/>
  <c r="AV56" i="7"/>
  <c r="AU56" i="7"/>
  <c r="AR56" i="7"/>
  <c r="AQ56" i="7"/>
  <c r="AN56" i="7"/>
  <c r="AM56" i="7"/>
  <c r="AJ56" i="7"/>
  <c r="AI56" i="7"/>
  <c r="AF56" i="7"/>
  <c r="AE56" i="7"/>
  <c r="AB56" i="7"/>
  <c r="AA56" i="7"/>
  <c r="X56" i="7"/>
  <c r="W56" i="7"/>
  <c r="T56" i="7"/>
  <c r="S56" i="7"/>
  <c r="P56" i="7"/>
  <c r="O56" i="7"/>
  <c r="L56" i="7"/>
  <c r="K56" i="7"/>
  <c r="H56" i="7"/>
  <c r="DJ55" i="7"/>
  <c r="DI55" i="7"/>
  <c r="DF55" i="7"/>
  <c r="DE55" i="7"/>
  <c r="DB55" i="7"/>
  <c r="DA55" i="7"/>
  <c r="CX55" i="7"/>
  <c r="CW55" i="7"/>
  <c r="CT55" i="7"/>
  <c r="CS55" i="7"/>
  <c r="CP55" i="7"/>
  <c r="CO55" i="7"/>
  <c r="CL55" i="7"/>
  <c r="CK55" i="7"/>
  <c r="CH55" i="7"/>
  <c r="CG55" i="7"/>
  <c r="CD55" i="7"/>
  <c r="CC55" i="7"/>
  <c r="BZ55" i="7"/>
  <c r="BY55" i="7"/>
  <c r="BV55" i="7"/>
  <c r="BU55" i="7"/>
  <c r="BR55" i="7"/>
  <c r="BQ55" i="7"/>
  <c r="BN55" i="7"/>
  <c r="BM55" i="7"/>
  <c r="BJ55" i="7"/>
  <c r="BI55" i="7"/>
  <c r="BF55" i="7"/>
  <c r="BE55" i="7"/>
  <c r="BB55" i="7"/>
  <c r="BA55" i="7"/>
  <c r="AX55" i="7"/>
  <c r="AW55" i="7"/>
  <c r="AT55" i="7"/>
  <c r="AS55" i="7"/>
  <c r="AP55" i="7"/>
  <c r="AO55" i="7"/>
  <c r="AL55" i="7"/>
  <c r="AK55" i="7"/>
  <c r="AH55" i="7"/>
  <c r="AG55" i="7"/>
  <c r="AD55" i="7"/>
  <c r="AC55" i="7"/>
  <c r="Z55" i="7"/>
  <c r="Y55" i="7"/>
  <c r="V55" i="7"/>
  <c r="U55" i="7"/>
  <c r="R55" i="7"/>
  <c r="Q55" i="7"/>
  <c r="N55" i="7"/>
  <c r="M55" i="7"/>
  <c r="J55" i="7"/>
  <c r="I55" i="7"/>
  <c r="H55" i="7"/>
  <c r="DL54" i="7"/>
  <c r="DK54" i="7"/>
  <c r="DH54" i="7"/>
  <c r="DG54" i="7"/>
  <c r="DD54" i="7"/>
  <c r="DC54" i="7"/>
  <c r="CZ54" i="7"/>
  <c r="CY54" i="7"/>
  <c r="CV54" i="7"/>
  <c r="CU54" i="7"/>
  <c r="CR54" i="7"/>
  <c r="CQ54" i="7"/>
  <c r="CN54" i="7"/>
  <c r="CM54" i="7"/>
  <c r="CJ54" i="7"/>
  <c r="CI54" i="7"/>
  <c r="CF54" i="7"/>
  <c r="CE54" i="7"/>
  <c r="CB54" i="7"/>
  <c r="CA54" i="7"/>
  <c r="BX54" i="7"/>
  <c r="BW54" i="7"/>
  <c r="BT54" i="7"/>
  <c r="BS54" i="7"/>
  <c r="BP54" i="7"/>
  <c r="BO54" i="7"/>
  <c r="BL54" i="7"/>
  <c r="BK54" i="7"/>
  <c r="BH54" i="7"/>
  <c r="BG54" i="7"/>
  <c r="BD54" i="7"/>
  <c r="BC54" i="7"/>
  <c r="AZ54" i="7"/>
  <c r="AY54" i="7"/>
  <c r="AV54" i="7"/>
  <c r="AU54" i="7"/>
  <c r="AR54" i="7"/>
  <c r="AQ54" i="7"/>
  <c r="AN54" i="7"/>
  <c r="AM54" i="7"/>
  <c r="AJ54" i="7"/>
  <c r="AI54" i="7"/>
  <c r="AF54" i="7"/>
  <c r="AE54" i="7"/>
  <c r="AB54" i="7"/>
  <c r="AA54" i="7"/>
  <c r="X54" i="7"/>
  <c r="W54" i="7"/>
  <c r="T54" i="7"/>
  <c r="S54" i="7"/>
  <c r="P54" i="7"/>
  <c r="O54" i="7"/>
  <c r="L54" i="7"/>
  <c r="K54" i="7"/>
  <c r="H54" i="7"/>
  <c r="DL53" i="7"/>
  <c r="DK53" i="7"/>
  <c r="DH53" i="7"/>
  <c r="DG53" i="7"/>
  <c r="DD53" i="7"/>
  <c r="DC53" i="7"/>
  <c r="CZ53" i="7"/>
  <c r="CY53" i="7"/>
  <c r="CV53" i="7"/>
  <c r="CU53" i="7"/>
  <c r="CR53" i="7"/>
  <c r="CQ53" i="7"/>
  <c r="CN53" i="7"/>
  <c r="CM53" i="7"/>
  <c r="CJ53" i="7"/>
  <c r="CI53" i="7"/>
  <c r="CF53" i="7"/>
  <c r="CE53" i="7"/>
  <c r="CB53" i="7"/>
  <c r="CA53" i="7"/>
  <c r="BX53" i="7"/>
  <c r="BW53" i="7"/>
  <c r="BT53" i="7"/>
  <c r="BS53" i="7"/>
  <c r="BP53" i="7"/>
  <c r="BO53" i="7"/>
  <c r="BL53" i="7"/>
  <c r="BK53" i="7"/>
  <c r="BH53" i="7"/>
  <c r="BG53" i="7"/>
  <c r="BD53" i="7"/>
  <c r="BC53" i="7"/>
  <c r="AZ53" i="7"/>
  <c r="AY53" i="7"/>
  <c r="AV53" i="7"/>
  <c r="AU53" i="7"/>
  <c r="AR53" i="7"/>
  <c r="AQ53" i="7"/>
  <c r="AN53" i="7"/>
  <c r="AM53" i="7"/>
  <c r="AJ53" i="7"/>
  <c r="AI53" i="7"/>
  <c r="AF53" i="7"/>
  <c r="AE53" i="7"/>
  <c r="AB53" i="7"/>
  <c r="AA53" i="7"/>
  <c r="X53" i="7"/>
  <c r="W53" i="7"/>
  <c r="T53" i="7"/>
  <c r="S53" i="7"/>
  <c r="P53" i="7"/>
  <c r="O53" i="7"/>
  <c r="L53" i="7"/>
  <c r="K53" i="7"/>
  <c r="H53" i="7"/>
  <c r="DL52" i="7"/>
  <c r="DK52" i="7"/>
  <c r="DH52" i="7"/>
  <c r="DG52" i="7"/>
  <c r="DD52" i="7"/>
  <c r="DC52" i="7"/>
  <c r="CZ52" i="7"/>
  <c r="CY52" i="7"/>
  <c r="CV52" i="7"/>
  <c r="CU52" i="7"/>
  <c r="CR52" i="7"/>
  <c r="CQ52" i="7"/>
  <c r="CN52" i="7"/>
  <c r="CM52" i="7"/>
  <c r="CJ52" i="7"/>
  <c r="CI52" i="7"/>
  <c r="CF52" i="7"/>
  <c r="CE52" i="7"/>
  <c r="CB52" i="7"/>
  <c r="CA52" i="7"/>
  <c r="BX52" i="7"/>
  <c r="BW52" i="7"/>
  <c r="BT52" i="7"/>
  <c r="BS52" i="7"/>
  <c r="BP52" i="7"/>
  <c r="BO52" i="7"/>
  <c r="BL52" i="7"/>
  <c r="BK52" i="7"/>
  <c r="BH52" i="7"/>
  <c r="BG52" i="7"/>
  <c r="BD52" i="7"/>
  <c r="BC52" i="7"/>
  <c r="AZ52" i="7"/>
  <c r="AY52" i="7"/>
  <c r="AV52" i="7"/>
  <c r="AU52" i="7"/>
  <c r="AR52" i="7"/>
  <c r="AQ52" i="7"/>
  <c r="AN52" i="7"/>
  <c r="AM52" i="7"/>
  <c r="AJ52" i="7"/>
  <c r="AI52" i="7"/>
  <c r="AF52" i="7"/>
  <c r="AE52" i="7"/>
  <c r="AB52" i="7"/>
  <c r="AA52" i="7"/>
  <c r="X52" i="7"/>
  <c r="W52" i="7"/>
  <c r="T52" i="7"/>
  <c r="S52" i="7"/>
  <c r="P52" i="7"/>
  <c r="O52" i="7"/>
  <c r="L52" i="7"/>
  <c r="K52" i="7"/>
  <c r="H52" i="7"/>
  <c r="DJ51" i="7"/>
  <c r="DI51" i="7"/>
  <c r="DF51" i="7"/>
  <c r="DE51" i="7"/>
  <c r="DB51" i="7"/>
  <c r="DA51" i="7"/>
  <c r="CX51" i="7"/>
  <c r="CW51" i="7"/>
  <c r="CT51" i="7"/>
  <c r="CS51" i="7"/>
  <c r="CP51" i="7"/>
  <c r="CO51" i="7"/>
  <c r="CL51" i="7"/>
  <c r="CK51" i="7"/>
  <c r="CH51" i="7"/>
  <c r="CG51" i="7"/>
  <c r="CD51" i="7"/>
  <c r="CC51" i="7"/>
  <c r="BZ51" i="7"/>
  <c r="BY51" i="7"/>
  <c r="BV51" i="7"/>
  <c r="BU51" i="7"/>
  <c r="BR51" i="7"/>
  <c r="BQ51" i="7"/>
  <c r="BN51" i="7"/>
  <c r="BM51" i="7"/>
  <c r="BJ51" i="7"/>
  <c r="BI51" i="7"/>
  <c r="BF51" i="7"/>
  <c r="BE51" i="7"/>
  <c r="BB51" i="7"/>
  <c r="BA51" i="7"/>
  <c r="AX51" i="7"/>
  <c r="AW51" i="7"/>
  <c r="AT51" i="7"/>
  <c r="AS51" i="7"/>
  <c r="AP51" i="7"/>
  <c r="AO51" i="7"/>
  <c r="AL51" i="7"/>
  <c r="AK51" i="7"/>
  <c r="AH51" i="7"/>
  <c r="AG51" i="7"/>
  <c r="AD51" i="7"/>
  <c r="AC51" i="7"/>
  <c r="Z51" i="7"/>
  <c r="Y51" i="7"/>
  <c r="V51" i="7"/>
  <c r="U51" i="7"/>
  <c r="R51" i="7"/>
  <c r="Q51" i="7"/>
  <c r="N51" i="7"/>
  <c r="M51" i="7"/>
  <c r="J51" i="7"/>
  <c r="I51" i="7"/>
  <c r="H51" i="7"/>
  <c r="DL50" i="7"/>
  <c r="DK50" i="7"/>
  <c r="DH50" i="7"/>
  <c r="DG50" i="7"/>
  <c r="DD50" i="7"/>
  <c r="DC50" i="7"/>
  <c r="CZ50" i="7"/>
  <c r="CY50" i="7"/>
  <c r="CV50" i="7"/>
  <c r="CU50" i="7"/>
  <c r="CR50" i="7"/>
  <c r="CQ50" i="7"/>
  <c r="CN50" i="7"/>
  <c r="CM50" i="7"/>
  <c r="CJ50" i="7"/>
  <c r="CI50" i="7"/>
  <c r="CF50" i="7"/>
  <c r="CE50" i="7"/>
  <c r="CB50" i="7"/>
  <c r="CA50" i="7"/>
  <c r="BX50" i="7"/>
  <c r="BW50" i="7"/>
  <c r="BT50" i="7"/>
  <c r="BS50" i="7"/>
  <c r="BP50" i="7"/>
  <c r="BO50" i="7"/>
  <c r="BL50" i="7"/>
  <c r="BK50" i="7"/>
  <c r="BH50" i="7"/>
  <c r="BG50" i="7"/>
  <c r="BD50" i="7"/>
  <c r="BC50" i="7"/>
  <c r="AZ50" i="7"/>
  <c r="AY50" i="7"/>
  <c r="AV50" i="7"/>
  <c r="AU50" i="7"/>
  <c r="AR50" i="7"/>
  <c r="AQ50" i="7"/>
  <c r="AN50" i="7"/>
  <c r="AM50" i="7"/>
  <c r="AJ50" i="7"/>
  <c r="AI50" i="7"/>
  <c r="AF50" i="7"/>
  <c r="AE50" i="7"/>
  <c r="AB50" i="7"/>
  <c r="AA50" i="7"/>
  <c r="X50" i="7"/>
  <c r="W50" i="7"/>
  <c r="T50" i="7"/>
  <c r="S50" i="7"/>
  <c r="P50" i="7"/>
  <c r="O50" i="7"/>
  <c r="L50" i="7"/>
  <c r="K50" i="7"/>
  <c r="H50" i="7"/>
  <c r="DL49" i="7"/>
  <c r="DK49" i="7"/>
  <c r="DH49" i="7"/>
  <c r="DG49" i="7"/>
  <c r="DD49" i="7"/>
  <c r="DC49" i="7"/>
  <c r="CZ49" i="7"/>
  <c r="CY49" i="7"/>
  <c r="CV49" i="7"/>
  <c r="CU49" i="7"/>
  <c r="CR49" i="7"/>
  <c r="CQ49" i="7"/>
  <c r="CN49" i="7"/>
  <c r="CM49" i="7"/>
  <c r="CJ49" i="7"/>
  <c r="CI49" i="7"/>
  <c r="CF49" i="7"/>
  <c r="CE49" i="7"/>
  <c r="CB49" i="7"/>
  <c r="CA49" i="7"/>
  <c r="BX49" i="7"/>
  <c r="BW49" i="7"/>
  <c r="BT49" i="7"/>
  <c r="BS49" i="7"/>
  <c r="BP49" i="7"/>
  <c r="BO49" i="7"/>
  <c r="BL49" i="7"/>
  <c r="BK49" i="7"/>
  <c r="BH49" i="7"/>
  <c r="BG49" i="7"/>
  <c r="BD49" i="7"/>
  <c r="BC49" i="7"/>
  <c r="AZ49" i="7"/>
  <c r="AY49" i="7"/>
  <c r="AV49" i="7"/>
  <c r="AU49" i="7"/>
  <c r="AR49" i="7"/>
  <c r="AQ49" i="7"/>
  <c r="AN49" i="7"/>
  <c r="AM49" i="7"/>
  <c r="AJ49" i="7"/>
  <c r="AI49" i="7"/>
  <c r="AF49" i="7"/>
  <c r="AE49" i="7"/>
  <c r="AB49" i="7"/>
  <c r="AA49" i="7"/>
  <c r="X49" i="7"/>
  <c r="W49" i="7"/>
  <c r="T49" i="7"/>
  <c r="S49" i="7"/>
  <c r="P49" i="7"/>
  <c r="O49" i="7"/>
  <c r="L49" i="7"/>
  <c r="K49" i="7"/>
  <c r="H49" i="7"/>
  <c r="DL48" i="7"/>
  <c r="DK48" i="7"/>
  <c r="DH48" i="7"/>
  <c r="DG48" i="7"/>
  <c r="DD48" i="7"/>
  <c r="DC48" i="7"/>
  <c r="CZ48" i="7"/>
  <c r="CY48" i="7"/>
  <c r="CV48" i="7"/>
  <c r="CU48" i="7"/>
  <c r="CR48" i="7"/>
  <c r="CQ48" i="7"/>
  <c r="CN48" i="7"/>
  <c r="CM48" i="7"/>
  <c r="CJ48" i="7"/>
  <c r="CI48" i="7"/>
  <c r="CF48" i="7"/>
  <c r="CE48" i="7"/>
  <c r="CB48" i="7"/>
  <c r="CA48" i="7"/>
  <c r="BX48" i="7"/>
  <c r="BW48" i="7"/>
  <c r="BT48" i="7"/>
  <c r="BS48" i="7"/>
  <c r="BP48" i="7"/>
  <c r="BO48" i="7"/>
  <c r="BL48" i="7"/>
  <c r="BK48" i="7"/>
  <c r="BH48" i="7"/>
  <c r="BG48" i="7"/>
  <c r="BD48" i="7"/>
  <c r="BC48" i="7"/>
  <c r="AZ48" i="7"/>
  <c r="AY48" i="7"/>
  <c r="AV48" i="7"/>
  <c r="AU48" i="7"/>
  <c r="AR48" i="7"/>
  <c r="AQ48" i="7"/>
  <c r="AN48" i="7"/>
  <c r="AM48" i="7"/>
  <c r="AJ48" i="7"/>
  <c r="AI48" i="7"/>
  <c r="AF48" i="7"/>
  <c r="AE48" i="7"/>
  <c r="AB48" i="7"/>
  <c r="AA48" i="7"/>
  <c r="X48" i="7"/>
  <c r="W48" i="7"/>
  <c r="T48" i="7"/>
  <c r="S48" i="7"/>
  <c r="P48" i="7"/>
  <c r="O48" i="7"/>
  <c r="L48" i="7"/>
  <c r="K48" i="7"/>
  <c r="H48" i="7"/>
  <c r="DJ47" i="7"/>
  <c r="DI47" i="7"/>
  <c r="DF47" i="7"/>
  <c r="DE47" i="7"/>
  <c r="DB47" i="7"/>
  <c r="DA47" i="7"/>
  <c r="CX47" i="7"/>
  <c r="CW47" i="7"/>
  <c r="CT47" i="7"/>
  <c r="CS47" i="7"/>
  <c r="CP47" i="7"/>
  <c r="CO47" i="7"/>
  <c r="CL47" i="7"/>
  <c r="CK47" i="7"/>
  <c r="CH47" i="7"/>
  <c r="CG47" i="7"/>
  <c r="CD47" i="7"/>
  <c r="CC47" i="7"/>
  <c r="BZ47" i="7"/>
  <c r="BY47" i="7"/>
  <c r="BV47" i="7"/>
  <c r="BU47" i="7"/>
  <c r="BR47" i="7"/>
  <c r="BQ47" i="7"/>
  <c r="BN47" i="7"/>
  <c r="BM47" i="7"/>
  <c r="BJ47" i="7"/>
  <c r="BI47" i="7"/>
  <c r="BF47" i="7"/>
  <c r="BE47" i="7"/>
  <c r="BB47" i="7"/>
  <c r="BA47" i="7"/>
  <c r="AX47" i="7"/>
  <c r="AW47" i="7"/>
  <c r="AT47" i="7"/>
  <c r="AS47" i="7"/>
  <c r="AP47" i="7"/>
  <c r="AO47" i="7"/>
  <c r="AL47" i="7"/>
  <c r="AK47" i="7"/>
  <c r="AH47" i="7"/>
  <c r="AG47" i="7"/>
  <c r="AD47" i="7"/>
  <c r="AC47" i="7"/>
  <c r="Z47" i="7"/>
  <c r="Y47" i="7"/>
  <c r="V47" i="7"/>
  <c r="U47" i="7"/>
  <c r="R47" i="7"/>
  <c r="Q47" i="7"/>
  <c r="N47" i="7"/>
  <c r="M47" i="7"/>
  <c r="J47" i="7"/>
  <c r="I47" i="7"/>
  <c r="H47" i="7"/>
  <c r="DL46" i="7"/>
  <c r="DK46" i="7"/>
  <c r="DH46" i="7"/>
  <c r="DG46" i="7"/>
  <c r="DD46" i="7"/>
  <c r="DC46" i="7"/>
  <c r="CZ46" i="7"/>
  <c r="CY46" i="7"/>
  <c r="CV46" i="7"/>
  <c r="CU46" i="7"/>
  <c r="CR46" i="7"/>
  <c r="CQ46" i="7"/>
  <c r="CN46" i="7"/>
  <c r="CM46" i="7"/>
  <c r="CJ46" i="7"/>
  <c r="CI46" i="7"/>
  <c r="CF46" i="7"/>
  <c r="CE46" i="7"/>
  <c r="CB46" i="7"/>
  <c r="CA46" i="7"/>
  <c r="BX46" i="7"/>
  <c r="BW46" i="7"/>
  <c r="BT46" i="7"/>
  <c r="BS46" i="7"/>
  <c r="BP46" i="7"/>
  <c r="BO46" i="7"/>
  <c r="BL46" i="7"/>
  <c r="BK46" i="7"/>
  <c r="BH46" i="7"/>
  <c r="BG46" i="7"/>
  <c r="BD46" i="7"/>
  <c r="BC46" i="7"/>
  <c r="AZ46" i="7"/>
  <c r="AY46" i="7"/>
  <c r="AV46" i="7"/>
  <c r="AU46" i="7"/>
  <c r="AR46" i="7"/>
  <c r="AQ46" i="7"/>
  <c r="AN46" i="7"/>
  <c r="AM46" i="7"/>
  <c r="AJ46" i="7"/>
  <c r="AI46" i="7"/>
  <c r="AF46" i="7"/>
  <c r="AE46" i="7"/>
  <c r="AB46" i="7"/>
  <c r="AA46" i="7"/>
  <c r="X46" i="7"/>
  <c r="W46" i="7"/>
  <c r="T46" i="7"/>
  <c r="S46" i="7"/>
  <c r="P46" i="7"/>
  <c r="O46" i="7"/>
  <c r="L46" i="7"/>
  <c r="K46" i="7"/>
  <c r="H46" i="7"/>
  <c r="DL45" i="7"/>
  <c r="DK45" i="7"/>
  <c r="DH45" i="7"/>
  <c r="DG45" i="7"/>
  <c r="DD45" i="7"/>
  <c r="DC45" i="7"/>
  <c r="CZ45" i="7"/>
  <c r="CY45" i="7"/>
  <c r="CV45" i="7"/>
  <c r="CU45" i="7"/>
  <c r="CR45" i="7"/>
  <c r="CQ45" i="7"/>
  <c r="CN45" i="7"/>
  <c r="CM45" i="7"/>
  <c r="CJ45" i="7"/>
  <c r="CI45" i="7"/>
  <c r="CF45" i="7"/>
  <c r="CE45" i="7"/>
  <c r="CB45" i="7"/>
  <c r="CA45" i="7"/>
  <c r="BX45" i="7"/>
  <c r="BW45" i="7"/>
  <c r="BT45" i="7"/>
  <c r="BS45" i="7"/>
  <c r="BP45" i="7"/>
  <c r="BO45" i="7"/>
  <c r="BL45" i="7"/>
  <c r="BK45" i="7"/>
  <c r="BH45" i="7"/>
  <c r="BG45" i="7"/>
  <c r="BD45" i="7"/>
  <c r="BC45" i="7"/>
  <c r="AZ45" i="7"/>
  <c r="AY45" i="7"/>
  <c r="AV45" i="7"/>
  <c r="AU45" i="7"/>
  <c r="AR45" i="7"/>
  <c r="AQ45" i="7"/>
  <c r="AN45" i="7"/>
  <c r="AM45" i="7"/>
  <c r="AJ45" i="7"/>
  <c r="AI45" i="7"/>
  <c r="AF45" i="7"/>
  <c r="AE45" i="7"/>
  <c r="AB45" i="7"/>
  <c r="AA45" i="7"/>
  <c r="X45" i="7"/>
  <c r="W45" i="7"/>
  <c r="T45" i="7"/>
  <c r="S45" i="7"/>
  <c r="P45" i="7"/>
  <c r="O45" i="7"/>
  <c r="L45" i="7"/>
  <c r="K45" i="7"/>
  <c r="H45" i="7"/>
  <c r="DL44" i="7"/>
  <c r="DK44" i="7"/>
  <c r="DH44" i="7"/>
  <c r="DG44" i="7"/>
  <c r="DD44" i="7"/>
  <c r="DC44" i="7"/>
  <c r="CZ44" i="7"/>
  <c r="CY44" i="7"/>
  <c r="CV44" i="7"/>
  <c r="CU44" i="7"/>
  <c r="CR44" i="7"/>
  <c r="CQ44" i="7"/>
  <c r="CN44" i="7"/>
  <c r="CM44" i="7"/>
  <c r="CJ44" i="7"/>
  <c r="CI44" i="7"/>
  <c r="CF44" i="7"/>
  <c r="CE44" i="7"/>
  <c r="CB44" i="7"/>
  <c r="CA44" i="7"/>
  <c r="BX44" i="7"/>
  <c r="BW44" i="7"/>
  <c r="BT44" i="7"/>
  <c r="BS44" i="7"/>
  <c r="BP44" i="7"/>
  <c r="BO44" i="7"/>
  <c r="BL44" i="7"/>
  <c r="BK44" i="7"/>
  <c r="BH44" i="7"/>
  <c r="BG44" i="7"/>
  <c r="BD44" i="7"/>
  <c r="BC44" i="7"/>
  <c r="AZ44" i="7"/>
  <c r="AY44" i="7"/>
  <c r="AV44" i="7"/>
  <c r="AU44" i="7"/>
  <c r="AR44" i="7"/>
  <c r="AQ44" i="7"/>
  <c r="AN44" i="7"/>
  <c r="AM44" i="7"/>
  <c r="AJ44" i="7"/>
  <c r="AI44" i="7"/>
  <c r="AF44" i="7"/>
  <c r="AE44" i="7"/>
  <c r="AB44" i="7"/>
  <c r="AA44" i="7"/>
  <c r="X44" i="7"/>
  <c r="W44" i="7"/>
  <c r="T44" i="7"/>
  <c r="S44" i="7"/>
  <c r="P44" i="7"/>
  <c r="O44" i="7"/>
  <c r="L44" i="7"/>
  <c r="K44" i="7"/>
  <c r="H44" i="7"/>
  <c r="DJ43" i="7"/>
  <c r="DI43" i="7"/>
  <c r="DF43" i="7"/>
  <c r="DE43" i="7"/>
  <c r="DB43" i="7"/>
  <c r="DA43" i="7"/>
  <c r="CX43" i="7"/>
  <c r="CW43" i="7"/>
  <c r="CT43" i="7"/>
  <c r="CS43" i="7"/>
  <c r="CP43" i="7"/>
  <c r="CO43" i="7"/>
  <c r="CL43" i="7"/>
  <c r="CK43" i="7"/>
  <c r="CH43" i="7"/>
  <c r="CG43" i="7"/>
  <c r="CD43" i="7"/>
  <c r="CC43" i="7"/>
  <c r="BZ43" i="7"/>
  <c r="BY43" i="7"/>
  <c r="BV43" i="7"/>
  <c r="BU43" i="7"/>
  <c r="BR43" i="7"/>
  <c r="BQ43" i="7"/>
  <c r="BN43" i="7"/>
  <c r="BM43" i="7"/>
  <c r="BJ43" i="7"/>
  <c r="BI43" i="7"/>
  <c r="BF43" i="7"/>
  <c r="BE43" i="7"/>
  <c r="BB43" i="7"/>
  <c r="BA43" i="7"/>
  <c r="AX43" i="7"/>
  <c r="AW43" i="7"/>
  <c r="AT43" i="7"/>
  <c r="AS43" i="7"/>
  <c r="AP43" i="7"/>
  <c r="AO43" i="7"/>
  <c r="AL43" i="7"/>
  <c r="AK43" i="7"/>
  <c r="AH43" i="7"/>
  <c r="AG43" i="7"/>
  <c r="AD43" i="7"/>
  <c r="AC43" i="7"/>
  <c r="Z43" i="7"/>
  <c r="Y43" i="7"/>
  <c r="V43" i="7"/>
  <c r="U43" i="7"/>
  <c r="R43" i="7"/>
  <c r="Q43" i="7"/>
  <c r="N43" i="7"/>
  <c r="M43" i="7"/>
  <c r="J43" i="7"/>
  <c r="I43" i="7"/>
  <c r="H43" i="7"/>
  <c r="DL42" i="7"/>
  <c r="DK42" i="7"/>
  <c r="DH42" i="7"/>
  <c r="DG42" i="7"/>
  <c r="DD42" i="7"/>
  <c r="DC42" i="7"/>
  <c r="CZ42" i="7"/>
  <c r="CY42" i="7"/>
  <c r="CV42" i="7"/>
  <c r="CU42" i="7"/>
  <c r="CR42" i="7"/>
  <c r="CQ42" i="7"/>
  <c r="CN42" i="7"/>
  <c r="CM42" i="7"/>
  <c r="CJ42" i="7"/>
  <c r="CI42" i="7"/>
  <c r="CF42" i="7"/>
  <c r="CE42" i="7"/>
  <c r="CB42" i="7"/>
  <c r="CA42" i="7"/>
  <c r="BX42" i="7"/>
  <c r="BW42" i="7"/>
  <c r="BT42" i="7"/>
  <c r="BS42" i="7"/>
  <c r="BP42" i="7"/>
  <c r="BO42" i="7"/>
  <c r="BL42" i="7"/>
  <c r="BK42" i="7"/>
  <c r="BH42" i="7"/>
  <c r="BG42" i="7"/>
  <c r="BD42" i="7"/>
  <c r="BC42" i="7"/>
  <c r="AZ42" i="7"/>
  <c r="AY42" i="7"/>
  <c r="AV42" i="7"/>
  <c r="AU42" i="7"/>
  <c r="AR42" i="7"/>
  <c r="AQ42" i="7"/>
  <c r="AN42" i="7"/>
  <c r="AM42" i="7"/>
  <c r="AJ42" i="7"/>
  <c r="AI42" i="7"/>
  <c r="AF42" i="7"/>
  <c r="AE42" i="7"/>
  <c r="AB42" i="7"/>
  <c r="AA42" i="7"/>
  <c r="X42" i="7"/>
  <c r="W42" i="7"/>
  <c r="T42" i="7"/>
  <c r="S42" i="7"/>
  <c r="P42" i="7"/>
  <c r="O42" i="7"/>
  <c r="L42" i="7"/>
  <c r="K42" i="7"/>
  <c r="H42" i="7"/>
  <c r="DL41" i="7"/>
  <c r="DK41" i="7"/>
  <c r="DH41" i="7"/>
  <c r="DG41" i="7"/>
  <c r="DD41" i="7"/>
  <c r="DC41" i="7"/>
  <c r="CZ41" i="7"/>
  <c r="CY41" i="7"/>
  <c r="CV41" i="7"/>
  <c r="CU41" i="7"/>
  <c r="CR41" i="7"/>
  <c r="CQ41" i="7"/>
  <c r="CN41" i="7"/>
  <c r="CM41" i="7"/>
  <c r="CJ41" i="7"/>
  <c r="CI41" i="7"/>
  <c r="CF41" i="7"/>
  <c r="CE41" i="7"/>
  <c r="CB41" i="7"/>
  <c r="CA41" i="7"/>
  <c r="BX41" i="7"/>
  <c r="BW41" i="7"/>
  <c r="BT41" i="7"/>
  <c r="BS41" i="7"/>
  <c r="BP41" i="7"/>
  <c r="BO41" i="7"/>
  <c r="BL41" i="7"/>
  <c r="BK41" i="7"/>
  <c r="BH41" i="7"/>
  <c r="BG41" i="7"/>
  <c r="BD41" i="7"/>
  <c r="BC41" i="7"/>
  <c r="AZ41" i="7"/>
  <c r="AY41" i="7"/>
  <c r="AV41" i="7"/>
  <c r="AU41" i="7"/>
  <c r="AR41" i="7"/>
  <c r="AQ41" i="7"/>
  <c r="AN41" i="7"/>
  <c r="AM41" i="7"/>
  <c r="AJ41" i="7"/>
  <c r="AI41" i="7"/>
  <c r="AF41" i="7"/>
  <c r="AE41" i="7"/>
  <c r="AB41" i="7"/>
  <c r="AA41" i="7"/>
  <c r="X41" i="7"/>
  <c r="W41" i="7"/>
  <c r="T41" i="7"/>
  <c r="S41" i="7"/>
  <c r="P41" i="7"/>
  <c r="O41" i="7"/>
  <c r="L41" i="7"/>
  <c r="K41" i="7"/>
  <c r="H41" i="7"/>
  <c r="DL40" i="7"/>
  <c r="DK40" i="7"/>
  <c r="DH40" i="7"/>
  <c r="DG40" i="7"/>
  <c r="DD40" i="7"/>
  <c r="DC40" i="7"/>
  <c r="CZ40" i="7"/>
  <c r="CY40" i="7"/>
  <c r="CV40" i="7"/>
  <c r="CU40" i="7"/>
  <c r="CR40" i="7"/>
  <c r="CQ40" i="7"/>
  <c r="CN40" i="7"/>
  <c r="CM40" i="7"/>
  <c r="CJ40" i="7"/>
  <c r="CI40" i="7"/>
  <c r="CF40" i="7"/>
  <c r="CE40" i="7"/>
  <c r="CB40" i="7"/>
  <c r="CA40" i="7"/>
  <c r="BX40" i="7"/>
  <c r="BW40" i="7"/>
  <c r="BT40" i="7"/>
  <c r="BS40" i="7"/>
  <c r="BP40" i="7"/>
  <c r="BO40" i="7"/>
  <c r="BL40" i="7"/>
  <c r="BK40" i="7"/>
  <c r="BH40" i="7"/>
  <c r="BG40" i="7"/>
  <c r="BD40" i="7"/>
  <c r="BC40" i="7"/>
  <c r="AZ40" i="7"/>
  <c r="AY40" i="7"/>
  <c r="AV40" i="7"/>
  <c r="AU40" i="7"/>
  <c r="AR40" i="7"/>
  <c r="AQ40" i="7"/>
  <c r="AN40" i="7"/>
  <c r="AM40" i="7"/>
  <c r="AJ40" i="7"/>
  <c r="AI40" i="7"/>
  <c r="AF40" i="7"/>
  <c r="AE40" i="7"/>
  <c r="AB40" i="7"/>
  <c r="AA40" i="7"/>
  <c r="X40" i="7"/>
  <c r="W40" i="7"/>
  <c r="T40" i="7"/>
  <c r="S40" i="7"/>
  <c r="P40" i="7"/>
  <c r="O40" i="7"/>
  <c r="L40" i="7"/>
  <c r="K40" i="7"/>
  <c r="H40" i="7"/>
  <c r="DJ39" i="7"/>
  <c r="DI39" i="7"/>
  <c r="DF39" i="7"/>
  <c r="DE39" i="7"/>
  <c r="DB39" i="7"/>
  <c r="DA39" i="7"/>
  <c r="CX39" i="7"/>
  <c r="CW39" i="7"/>
  <c r="CT39" i="7"/>
  <c r="CS39" i="7"/>
  <c r="CP39" i="7"/>
  <c r="CO39" i="7"/>
  <c r="CL39" i="7"/>
  <c r="CK39" i="7"/>
  <c r="CH39" i="7"/>
  <c r="CG39" i="7"/>
  <c r="CD39" i="7"/>
  <c r="CC39" i="7"/>
  <c r="BZ39" i="7"/>
  <c r="BY39" i="7"/>
  <c r="BV39" i="7"/>
  <c r="BU39" i="7"/>
  <c r="BR39" i="7"/>
  <c r="BQ39" i="7"/>
  <c r="BN39" i="7"/>
  <c r="BM39" i="7"/>
  <c r="BJ39" i="7"/>
  <c r="BI39" i="7"/>
  <c r="BF39" i="7"/>
  <c r="BE39" i="7"/>
  <c r="BB39" i="7"/>
  <c r="BA39" i="7"/>
  <c r="AX39" i="7"/>
  <c r="AW39" i="7"/>
  <c r="AT39" i="7"/>
  <c r="AS39" i="7"/>
  <c r="AP39" i="7"/>
  <c r="AO39" i="7"/>
  <c r="AL39" i="7"/>
  <c r="AK39" i="7"/>
  <c r="AH39" i="7"/>
  <c r="AG39" i="7"/>
  <c r="AD39" i="7"/>
  <c r="AC39" i="7"/>
  <c r="Z39" i="7"/>
  <c r="Y39" i="7"/>
  <c r="V39" i="7"/>
  <c r="U39" i="7"/>
  <c r="R39" i="7"/>
  <c r="Q39" i="7"/>
  <c r="N39" i="7"/>
  <c r="M39" i="7"/>
  <c r="J39" i="7"/>
  <c r="I39" i="7"/>
  <c r="H39" i="7"/>
  <c r="DL38" i="7"/>
  <c r="DK38" i="7"/>
  <c r="DH38" i="7"/>
  <c r="DG38" i="7"/>
  <c r="DD38" i="7"/>
  <c r="DC38" i="7"/>
  <c r="CZ38" i="7"/>
  <c r="CY38" i="7"/>
  <c r="CV38" i="7"/>
  <c r="CU38" i="7"/>
  <c r="CR38" i="7"/>
  <c r="CQ38" i="7"/>
  <c r="CN38" i="7"/>
  <c r="CM38" i="7"/>
  <c r="CJ38" i="7"/>
  <c r="CI38" i="7"/>
  <c r="CF38" i="7"/>
  <c r="CE38" i="7"/>
  <c r="CB38" i="7"/>
  <c r="CA38" i="7"/>
  <c r="BX38" i="7"/>
  <c r="BW38" i="7"/>
  <c r="BT38" i="7"/>
  <c r="BS38" i="7"/>
  <c r="BP38" i="7"/>
  <c r="BO38" i="7"/>
  <c r="BL38" i="7"/>
  <c r="BK38" i="7"/>
  <c r="BH38" i="7"/>
  <c r="BG38" i="7"/>
  <c r="BD38" i="7"/>
  <c r="BC38" i="7"/>
  <c r="AZ38" i="7"/>
  <c r="AY38" i="7"/>
  <c r="AV38" i="7"/>
  <c r="AU38" i="7"/>
  <c r="AR38" i="7"/>
  <c r="AQ38" i="7"/>
  <c r="AN38" i="7"/>
  <c r="AM38" i="7"/>
  <c r="AJ38" i="7"/>
  <c r="AI38" i="7"/>
  <c r="AF38" i="7"/>
  <c r="AE38" i="7"/>
  <c r="AB38" i="7"/>
  <c r="AA38" i="7"/>
  <c r="X38" i="7"/>
  <c r="W38" i="7"/>
  <c r="T38" i="7"/>
  <c r="S38" i="7"/>
  <c r="P38" i="7"/>
  <c r="O38" i="7"/>
  <c r="L38" i="7"/>
  <c r="K38" i="7"/>
  <c r="H38" i="7"/>
  <c r="DL37" i="7"/>
  <c r="DK37" i="7"/>
  <c r="DH37" i="7"/>
  <c r="DG37" i="7"/>
  <c r="DD37" i="7"/>
  <c r="DC37" i="7"/>
  <c r="CZ37" i="7"/>
  <c r="CY37" i="7"/>
  <c r="CV37" i="7"/>
  <c r="CU37" i="7"/>
  <c r="CR37" i="7"/>
  <c r="CQ37" i="7"/>
  <c r="CN37" i="7"/>
  <c r="CM37" i="7"/>
  <c r="CJ37" i="7"/>
  <c r="CI37" i="7"/>
  <c r="CF37" i="7"/>
  <c r="CE37" i="7"/>
  <c r="CB37" i="7"/>
  <c r="CA37" i="7"/>
  <c r="BX37" i="7"/>
  <c r="BW37" i="7"/>
  <c r="BT37" i="7"/>
  <c r="BS37" i="7"/>
  <c r="BP37" i="7"/>
  <c r="BO37" i="7"/>
  <c r="BL37" i="7"/>
  <c r="BK37" i="7"/>
  <c r="BH37" i="7"/>
  <c r="BG37" i="7"/>
  <c r="BD37" i="7"/>
  <c r="BC37" i="7"/>
  <c r="AZ37" i="7"/>
  <c r="AY37" i="7"/>
  <c r="AV37" i="7"/>
  <c r="AU37" i="7"/>
  <c r="AR37" i="7"/>
  <c r="AQ37" i="7"/>
  <c r="AN37" i="7"/>
  <c r="AM37" i="7"/>
  <c r="AJ37" i="7"/>
  <c r="AI37" i="7"/>
  <c r="AF37" i="7"/>
  <c r="AE37" i="7"/>
  <c r="AB37" i="7"/>
  <c r="AA37" i="7"/>
  <c r="X37" i="7"/>
  <c r="W37" i="7"/>
  <c r="T37" i="7"/>
  <c r="S37" i="7"/>
  <c r="P37" i="7"/>
  <c r="O37" i="7"/>
  <c r="L37" i="7"/>
  <c r="K37" i="7"/>
  <c r="H37" i="7"/>
  <c r="DL36" i="7"/>
  <c r="DK36" i="7"/>
  <c r="DH36" i="7"/>
  <c r="DG36" i="7"/>
  <c r="DD36" i="7"/>
  <c r="DC36" i="7"/>
  <c r="CZ36" i="7"/>
  <c r="CY36" i="7"/>
  <c r="CV36" i="7"/>
  <c r="CU36" i="7"/>
  <c r="CR36" i="7"/>
  <c r="CQ36" i="7"/>
  <c r="CN36" i="7"/>
  <c r="CM36" i="7"/>
  <c r="CJ36" i="7"/>
  <c r="CI36" i="7"/>
  <c r="CF36" i="7"/>
  <c r="CE36" i="7"/>
  <c r="CB36" i="7"/>
  <c r="CA36" i="7"/>
  <c r="BX36" i="7"/>
  <c r="BW36" i="7"/>
  <c r="BT36" i="7"/>
  <c r="BS36" i="7"/>
  <c r="BP36" i="7"/>
  <c r="BO36" i="7"/>
  <c r="BL36" i="7"/>
  <c r="BK36" i="7"/>
  <c r="BH36" i="7"/>
  <c r="BG36" i="7"/>
  <c r="BD36" i="7"/>
  <c r="BC36" i="7"/>
  <c r="AZ36" i="7"/>
  <c r="AY36" i="7"/>
  <c r="AV36" i="7"/>
  <c r="AU36" i="7"/>
  <c r="AR36" i="7"/>
  <c r="AQ36" i="7"/>
  <c r="AN36" i="7"/>
  <c r="AM36" i="7"/>
  <c r="AJ36" i="7"/>
  <c r="AI36" i="7"/>
  <c r="AF36" i="7"/>
  <c r="AE36" i="7"/>
  <c r="AB36" i="7"/>
  <c r="AA36" i="7"/>
  <c r="X36" i="7"/>
  <c r="W36" i="7"/>
  <c r="T36" i="7"/>
  <c r="S36" i="7"/>
  <c r="P36" i="7"/>
  <c r="O36" i="7"/>
  <c r="L36" i="7"/>
  <c r="K36" i="7"/>
  <c r="H36" i="7"/>
  <c r="DJ35" i="7"/>
  <c r="DI35" i="7"/>
  <c r="DF35" i="7"/>
  <c r="DE35" i="7"/>
  <c r="DB35" i="7"/>
  <c r="DA35" i="7"/>
  <c r="CX35" i="7"/>
  <c r="CW35" i="7"/>
  <c r="CT35" i="7"/>
  <c r="CS35" i="7"/>
  <c r="CP35" i="7"/>
  <c r="CO35" i="7"/>
  <c r="CL35" i="7"/>
  <c r="CK35" i="7"/>
  <c r="CH35" i="7"/>
  <c r="CG35" i="7"/>
  <c r="CD35" i="7"/>
  <c r="CC35" i="7"/>
  <c r="BZ35" i="7"/>
  <c r="BY35" i="7"/>
  <c r="BV35" i="7"/>
  <c r="BU35" i="7"/>
  <c r="BR35" i="7"/>
  <c r="BQ35" i="7"/>
  <c r="BN35" i="7"/>
  <c r="BM35" i="7"/>
  <c r="BJ35" i="7"/>
  <c r="BI35" i="7"/>
  <c r="BF35" i="7"/>
  <c r="BE35" i="7"/>
  <c r="BB35" i="7"/>
  <c r="BA35" i="7"/>
  <c r="AX35" i="7"/>
  <c r="AW35" i="7"/>
  <c r="AT35" i="7"/>
  <c r="AS35" i="7"/>
  <c r="AP35" i="7"/>
  <c r="AO35" i="7"/>
  <c r="AL35" i="7"/>
  <c r="AK35" i="7"/>
  <c r="AH35" i="7"/>
  <c r="AG35" i="7"/>
  <c r="AD35" i="7"/>
  <c r="AC35" i="7"/>
  <c r="Z35" i="7"/>
  <c r="Y35" i="7"/>
  <c r="V35" i="7"/>
  <c r="U35" i="7"/>
  <c r="R35" i="7"/>
  <c r="Q35" i="7"/>
  <c r="N35" i="7"/>
  <c r="M35" i="7"/>
  <c r="J35" i="7"/>
  <c r="I35" i="7"/>
  <c r="H35" i="7"/>
  <c r="DL34" i="7"/>
  <c r="DK34" i="7"/>
  <c r="DH34" i="7"/>
  <c r="DG34" i="7"/>
  <c r="DD34" i="7"/>
  <c r="DC34" i="7"/>
  <c r="CZ34" i="7"/>
  <c r="CY34" i="7"/>
  <c r="CV34" i="7"/>
  <c r="CU34" i="7"/>
  <c r="CR34" i="7"/>
  <c r="CQ34" i="7"/>
  <c r="CN34" i="7"/>
  <c r="CM34" i="7"/>
  <c r="CJ34" i="7"/>
  <c r="CI34" i="7"/>
  <c r="CF34" i="7"/>
  <c r="CE34" i="7"/>
  <c r="CB34" i="7"/>
  <c r="CA34" i="7"/>
  <c r="BX34" i="7"/>
  <c r="BW34" i="7"/>
  <c r="BT34" i="7"/>
  <c r="BS34" i="7"/>
  <c r="BP34" i="7"/>
  <c r="BO34" i="7"/>
  <c r="BL34" i="7"/>
  <c r="BK34" i="7"/>
  <c r="BH34" i="7"/>
  <c r="BG34" i="7"/>
  <c r="BD34" i="7"/>
  <c r="BC34" i="7"/>
  <c r="AZ34" i="7"/>
  <c r="AY34" i="7"/>
  <c r="AV34" i="7"/>
  <c r="AU34" i="7"/>
  <c r="AR34" i="7"/>
  <c r="AQ34" i="7"/>
  <c r="AN34" i="7"/>
  <c r="AM34" i="7"/>
  <c r="AJ34" i="7"/>
  <c r="AI34" i="7"/>
  <c r="AF34" i="7"/>
  <c r="AE34" i="7"/>
  <c r="AB34" i="7"/>
  <c r="AA34" i="7"/>
  <c r="X34" i="7"/>
  <c r="W34" i="7"/>
  <c r="T34" i="7"/>
  <c r="S34" i="7"/>
  <c r="P34" i="7"/>
  <c r="O34" i="7"/>
  <c r="L34" i="7"/>
  <c r="K34" i="7"/>
  <c r="H34" i="7"/>
  <c r="DL33" i="7"/>
  <c r="DK33" i="7"/>
  <c r="DH33" i="7"/>
  <c r="DG33" i="7"/>
  <c r="DD33" i="7"/>
  <c r="DC33" i="7"/>
  <c r="CZ33" i="7"/>
  <c r="CY33" i="7"/>
  <c r="CV33" i="7"/>
  <c r="CU33" i="7"/>
  <c r="CR33" i="7"/>
  <c r="CQ33" i="7"/>
  <c r="CN33" i="7"/>
  <c r="CM33" i="7"/>
  <c r="CJ33" i="7"/>
  <c r="CI33" i="7"/>
  <c r="CF33" i="7"/>
  <c r="CE33" i="7"/>
  <c r="CB33" i="7"/>
  <c r="CA33" i="7"/>
  <c r="BX33" i="7"/>
  <c r="BW33" i="7"/>
  <c r="BT33" i="7"/>
  <c r="BS33" i="7"/>
  <c r="BP33" i="7"/>
  <c r="BO33" i="7"/>
  <c r="BL33" i="7"/>
  <c r="BK33" i="7"/>
  <c r="BH33" i="7"/>
  <c r="BG33" i="7"/>
  <c r="BD33" i="7"/>
  <c r="BC33" i="7"/>
  <c r="AZ33" i="7"/>
  <c r="AY33" i="7"/>
  <c r="AV33" i="7"/>
  <c r="AU33" i="7"/>
  <c r="AR33" i="7"/>
  <c r="AQ33" i="7"/>
  <c r="AN33" i="7"/>
  <c r="AM33" i="7"/>
  <c r="AJ33" i="7"/>
  <c r="AI33" i="7"/>
  <c r="AF33" i="7"/>
  <c r="AE33" i="7"/>
  <c r="AB33" i="7"/>
  <c r="AA33" i="7"/>
  <c r="X33" i="7"/>
  <c r="W33" i="7"/>
  <c r="T33" i="7"/>
  <c r="S33" i="7"/>
  <c r="P33" i="7"/>
  <c r="O33" i="7"/>
  <c r="L33" i="7"/>
  <c r="K33" i="7"/>
  <c r="H33" i="7"/>
  <c r="DL32" i="7"/>
  <c r="DK32" i="7"/>
  <c r="DH32" i="7"/>
  <c r="DG32" i="7"/>
  <c r="DD32" i="7"/>
  <c r="DC32" i="7"/>
  <c r="CZ32" i="7"/>
  <c r="CY32" i="7"/>
  <c r="CV32" i="7"/>
  <c r="CU32" i="7"/>
  <c r="CR32" i="7"/>
  <c r="CQ32" i="7"/>
  <c r="CN32" i="7"/>
  <c r="CM32" i="7"/>
  <c r="CJ32" i="7"/>
  <c r="CI32" i="7"/>
  <c r="CF32" i="7"/>
  <c r="CE32" i="7"/>
  <c r="CB32" i="7"/>
  <c r="CA32" i="7"/>
  <c r="BX32" i="7"/>
  <c r="BW32" i="7"/>
  <c r="BT32" i="7"/>
  <c r="BS32" i="7"/>
  <c r="BP32" i="7"/>
  <c r="BO32" i="7"/>
  <c r="BL32" i="7"/>
  <c r="BK32" i="7"/>
  <c r="BH32" i="7"/>
  <c r="BG32" i="7"/>
  <c r="BD32" i="7"/>
  <c r="BC32" i="7"/>
  <c r="AZ32" i="7"/>
  <c r="AY32" i="7"/>
  <c r="AV32" i="7"/>
  <c r="AU32" i="7"/>
  <c r="AR32" i="7"/>
  <c r="AQ32" i="7"/>
  <c r="AN32" i="7"/>
  <c r="AM32" i="7"/>
  <c r="AJ32" i="7"/>
  <c r="AI32" i="7"/>
  <c r="AF32" i="7"/>
  <c r="AE32" i="7"/>
  <c r="AB32" i="7"/>
  <c r="AA32" i="7"/>
  <c r="X32" i="7"/>
  <c r="W32" i="7"/>
  <c r="T32" i="7"/>
  <c r="S32" i="7"/>
  <c r="P32" i="7"/>
  <c r="O32" i="7"/>
  <c r="L32" i="7"/>
  <c r="K32" i="7"/>
  <c r="H32" i="7"/>
  <c r="DJ31" i="7"/>
  <c r="DI31" i="7"/>
  <c r="DF31" i="7"/>
  <c r="DE31" i="7"/>
  <c r="DB31" i="7"/>
  <c r="DA31" i="7"/>
  <c r="CX31" i="7"/>
  <c r="CW31" i="7"/>
  <c r="CT31" i="7"/>
  <c r="CS31" i="7"/>
  <c r="CP31" i="7"/>
  <c r="CO31" i="7"/>
  <c r="CL31" i="7"/>
  <c r="CK31" i="7"/>
  <c r="CH31" i="7"/>
  <c r="CG31" i="7"/>
  <c r="CD31" i="7"/>
  <c r="CC31" i="7"/>
  <c r="BZ31" i="7"/>
  <c r="BY31" i="7"/>
  <c r="BV31" i="7"/>
  <c r="BU31" i="7"/>
  <c r="BR31" i="7"/>
  <c r="BQ31" i="7"/>
  <c r="BN31" i="7"/>
  <c r="BM31" i="7"/>
  <c r="BJ31" i="7"/>
  <c r="BI31" i="7"/>
  <c r="BF31" i="7"/>
  <c r="BE31" i="7"/>
  <c r="BB31" i="7"/>
  <c r="BA31" i="7"/>
  <c r="AX31" i="7"/>
  <c r="AW31" i="7"/>
  <c r="AT31" i="7"/>
  <c r="AS31" i="7"/>
  <c r="AP31" i="7"/>
  <c r="AO31" i="7"/>
  <c r="AL31" i="7"/>
  <c r="AK31" i="7"/>
  <c r="AH31" i="7"/>
  <c r="AG31" i="7"/>
  <c r="AD31" i="7"/>
  <c r="AC31" i="7"/>
  <c r="Z31" i="7"/>
  <c r="Y31" i="7"/>
  <c r="V31" i="7"/>
  <c r="U31" i="7"/>
  <c r="R31" i="7"/>
  <c r="Q31" i="7"/>
  <c r="N31" i="7"/>
  <c r="M31" i="7"/>
  <c r="J31" i="7"/>
  <c r="I31" i="7"/>
  <c r="H31" i="7"/>
  <c r="DL30" i="7"/>
  <c r="DK30" i="7"/>
  <c r="DH30" i="7"/>
  <c r="DG30" i="7"/>
  <c r="DD30" i="7"/>
  <c r="DC30" i="7"/>
  <c r="CZ30" i="7"/>
  <c r="CY30" i="7"/>
  <c r="CV30" i="7"/>
  <c r="CU30" i="7"/>
  <c r="CR30" i="7"/>
  <c r="CQ30" i="7"/>
  <c r="CN30" i="7"/>
  <c r="CM30" i="7"/>
  <c r="CJ30" i="7"/>
  <c r="CI30" i="7"/>
  <c r="CF30" i="7"/>
  <c r="CE30" i="7"/>
  <c r="CB30" i="7"/>
  <c r="CA30" i="7"/>
  <c r="BX30" i="7"/>
  <c r="BW30" i="7"/>
  <c r="BT30" i="7"/>
  <c r="BS30" i="7"/>
  <c r="BP30" i="7"/>
  <c r="BO30" i="7"/>
  <c r="BL30" i="7"/>
  <c r="BK30" i="7"/>
  <c r="BH30" i="7"/>
  <c r="BG30" i="7"/>
  <c r="BD30" i="7"/>
  <c r="BC30" i="7"/>
  <c r="AZ30" i="7"/>
  <c r="AY30" i="7"/>
  <c r="AV30" i="7"/>
  <c r="AU30" i="7"/>
  <c r="AR30" i="7"/>
  <c r="AQ30" i="7"/>
  <c r="AN30" i="7"/>
  <c r="AM30" i="7"/>
  <c r="AJ30" i="7"/>
  <c r="AI30" i="7"/>
  <c r="AF30" i="7"/>
  <c r="AE30" i="7"/>
  <c r="AB30" i="7"/>
  <c r="AA30" i="7"/>
  <c r="X30" i="7"/>
  <c r="W30" i="7"/>
  <c r="T30" i="7"/>
  <c r="S30" i="7"/>
  <c r="P30" i="7"/>
  <c r="O30" i="7"/>
  <c r="L30" i="7"/>
  <c r="K30" i="7"/>
  <c r="H30" i="7"/>
  <c r="DL29" i="7"/>
  <c r="DK29" i="7"/>
  <c r="DH29" i="7"/>
  <c r="DG29" i="7"/>
  <c r="DD29" i="7"/>
  <c r="DC29" i="7"/>
  <c r="CZ29" i="7"/>
  <c r="CY29" i="7"/>
  <c r="CV29" i="7"/>
  <c r="CU29" i="7"/>
  <c r="CR29" i="7"/>
  <c r="CQ29" i="7"/>
  <c r="CN29" i="7"/>
  <c r="CM29" i="7"/>
  <c r="CJ29" i="7"/>
  <c r="CI29" i="7"/>
  <c r="CF29" i="7"/>
  <c r="CE29" i="7"/>
  <c r="CB29" i="7"/>
  <c r="CA29" i="7"/>
  <c r="BX29" i="7"/>
  <c r="BW29" i="7"/>
  <c r="BT29" i="7"/>
  <c r="BS29" i="7"/>
  <c r="BP29" i="7"/>
  <c r="BO29" i="7"/>
  <c r="BL29" i="7"/>
  <c r="BK29" i="7"/>
  <c r="BH29" i="7"/>
  <c r="BG29" i="7"/>
  <c r="BD29" i="7"/>
  <c r="BC29" i="7"/>
  <c r="AZ29" i="7"/>
  <c r="AY29" i="7"/>
  <c r="AV29" i="7"/>
  <c r="AU29" i="7"/>
  <c r="AR29" i="7"/>
  <c r="AQ29" i="7"/>
  <c r="AN29" i="7"/>
  <c r="AM29" i="7"/>
  <c r="AJ29" i="7"/>
  <c r="AI29" i="7"/>
  <c r="AF29" i="7"/>
  <c r="AE29" i="7"/>
  <c r="AB29" i="7"/>
  <c r="AA29" i="7"/>
  <c r="X29" i="7"/>
  <c r="W29" i="7"/>
  <c r="T29" i="7"/>
  <c r="S29" i="7"/>
  <c r="P29" i="7"/>
  <c r="O29" i="7"/>
  <c r="L29" i="7"/>
  <c r="K29" i="7"/>
  <c r="H29" i="7"/>
  <c r="DL28" i="7"/>
  <c r="DK28" i="7"/>
  <c r="DH28" i="7"/>
  <c r="DG28" i="7"/>
  <c r="DD28" i="7"/>
  <c r="DC28" i="7"/>
  <c r="CZ28" i="7"/>
  <c r="CY28" i="7"/>
  <c r="CV28" i="7"/>
  <c r="CU28" i="7"/>
  <c r="CR28" i="7"/>
  <c r="CQ28" i="7"/>
  <c r="CN28" i="7"/>
  <c r="CM28" i="7"/>
  <c r="CJ28" i="7"/>
  <c r="CI28" i="7"/>
  <c r="CF28" i="7"/>
  <c r="CE28" i="7"/>
  <c r="CB28" i="7"/>
  <c r="CA28" i="7"/>
  <c r="BX28" i="7"/>
  <c r="BW28" i="7"/>
  <c r="BT28" i="7"/>
  <c r="BS28" i="7"/>
  <c r="BP28" i="7"/>
  <c r="BO28" i="7"/>
  <c r="BL28" i="7"/>
  <c r="BK28" i="7"/>
  <c r="BH28" i="7"/>
  <c r="BG28" i="7"/>
  <c r="BD28" i="7"/>
  <c r="BC28" i="7"/>
  <c r="AZ28" i="7"/>
  <c r="AY28" i="7"/>
  <c r="AV28" i="7"/>
  <c r="AU28" i="7"/>
  <c r="AR28" i="7"/>
  <c r="AQ28" i="7"/>
  <c r="AN28" i="7"/>
  <c r="AM28" i="7"/>
  <c r="AJ28" i="7"/>
  <c r="AI28" i="7"/>
  <c r="AF28" i="7"/>
  <c r="AE28" i="7"/>
  <c r="AB28" i="7"/>
  <c r="AA28" i="7"/>
  <c r="X28" i="7"/>
  <c r="W28" i="7"/>
  <c r="T28" i="7"/>
  <c r="S28" i="7"/>
  <c r="P28" i="7"/>
  <c r="O28" i="7"/>
  <c r="L28" i="7"/>
  <c r="K28" i="7"/>
  <c r="H28" i="7"/>
  <c r="DJ27" i="7"/>
  <c r="DI27" i="7"/>
  <c r="DF27" i="7"/>
  <c r="DE27" i="7"/>
  <c r="DB27" i="7"/>
  <c r="DA27" i="7"/>
  <c r="CX27" i="7"/>
  <c r="CW27" i="7"/>
  <c r="CT27" i="7"/>
  <c r="CS27" i="7"/>
  <c r="CP27" i="7"/>
  <c r="CO27" i="7"/>
  <c r="CL27" i="7"/>
  <c r="CK27" i="7"/>
  <c r="CH27" i="7"/>
  <c r="CG27" i="7"/>
  <c r="CD27" i="7"/>
  <c r="CC27" i="7"/>
  <c r="BZ27" i="7"/>
  <c r="BY27" i="7"/>
  <c r="BV27" i="7"/>
  <c r="BU27" i="7"/>
  <c r="BR27" i="7"/>
  <c r="BQ27" i="7"/>
  <c r="BN27" i="7"/>
  <c r="BM27" i="7"/>
  <c r="BJ27" i="7"/>
  <c r="BI27" i="7"/>
  <c r="BF27" i="7"/>
  <c r="BE27" i="7"/>
  <c r="BB27" i="7"/>
  <c r="BA27" i="7"/>
  <c r="AX27" i="7"/>
  <c r="AW27" i="7"/>
  <c r="AT27" i="7"/>
  <c r="AS27" i="7"/>
  <c r="AP27" i="7"/>
  <c r="AO27" i="7"/>
  <c r="AL27" i="7"/>
  <c r="AK27" i="7"/>
  <c r="AH27" i="7"/>
  <c r="AG27" i="7"/>
  <c r="AD27" i="7"/>
  <c r="AC27" i="7"/>
  <c r="Z27" i="7"/>
  <c r="Y27" i="7"/>
  <c r="V27" i="7"/>
  <c r="U27" i="7"/>
  <c r="R27" i="7"/>
  <c r="Q27" i="7"/>
  <c r="N27" i="7"/>
  <c r="M27" i="7"/>
  <c r="J27" i="7"/>
  <c r="I27" i="7"/>
  <c r="H27" i="7"/>
  <c r="DL26" i="7"/>
  <c r="DK26" i="7"/>
  <c r="DH26" i="7"/>
  <c r="DG26" i="7"/>
  <c r="DD26" i="7"/>
  <c r="DC26" i="7"/>
  <c r="CZ26" i="7"/>
  <c r="CY26" i="7"/>
  <c r="CV26" i="7"/>
  <c r="CU26" i="7"/>
  <c r="CR26" i="7"/>
  <c r="CQ26" i="7"/>
  <c r="CN26" i="7"/>
  <c r="CM26" i="7"/>
  <c r="CJ26" i="7"/>
  <c r="CI26" i="7"/>
  <c r="CF26" i="7"/>
  <c r="CE26" i="7"/>
  <c r="CB26" i="7"/>
  <c r="CA26" i="7"/>
  <c r="BX26" i="7"/>
  <c r="BW26" i="7"/>
  <c r="BT26" i="7"/>
  <c r="BS26" i="7"/>
  <c r="BP26" i="7"/>
  <c r="BO26" i="7"/>
  <c r="BL26" i="7"/>
  <c r="BK26" i="7"/>
  <c r="BH26" i="7"/>
  <c r="BG26" i="7"/>
  <c r="BD26" i="7"/>
  <c r="BC26" i="7"/>
  <c r="AZ26" i="7"/>
  <c r="AY26" i="7"/>
  <c r="AV26" i="7"/>
  <c r="AU26" i="7"/>
  <c r="AR26" i="7"/>
  <c r="AQ26" i="7"/>
  <c r="AN26" i="7"/>
  <c r="AM26" i="7"/>
  <c r="AJ26" i="7"/>
  <c r="AI26" i="7"/>
  <c r="AF26" i="7"/>
  <c r="AE26" i="7"/>
  <c r="AB26" i="7"/>
  <c r="AA26" i="7"/>
  <c r="X26" i="7"/>
  <c r="W26" i="7"/>
  <c r="T26" i="7"/>
  <c r="S26" i="7"/>
  <c r="P26" i="7"/>
  <c r="O26" i="7"/>
  <c r="L26" i="7"/>
  <c r="K26" i="7"/>
  <c r="H26" i="7"/>
  <c r="DL25" i="7"/>
  <c r="DK25" i="7"/>
  <c r="DH25" i="7"/>
  <c r="DG25" i="7"/>
  <c r="DD25" i="7"/>
  <c r="DC25" i="7"/>
  <c r="CZ25" i="7"/>
  <c r="CY25" i="7"/>
  <c r="CV25" i="7"/>
  <c r="CU25" i="7"/>
  <c r="CR25" i="7"/>
  <c r="CQ25" i="7"/>
  <c r="CN25" i="7"/>
  <c r="CM25" i="7"/>
  <c r="CJ25" i="7"/>
  <c r="CI25" i="7"/>
  <c r="CF25" i="7"/>
  <c r="CE25" i="7"/>
  <c r="CB25" i="7"/>
  <c r="CA25" i="7"/>
  <c r="BX25" i="7"/>
  <c r="BW25" i="7"/>
  <c r="BT25" i="7"/>
  <c r="BS25" i="7"/>
  <c r="BP25" i="7"/>
  <c r="BO25" i="7"/>
  <c r="BL25" i="7"/>
  <c r="BK25" i="7"/>
  <c r="BH25" i="7"/>
  <c r="BG25" i="7"/>
  <c r="BD25" i="7"/>
  <c r="BC25" i="7"/>
  <c r="AZ25" i="7"/>
  <c r="AY25" i="7"/>
  <c r="AV25" i="7"/>
  <c r="AU25" i="7"/>
  <c r="AR25" i="7"/>
  <c r="AQ25" i="7"/>
  <c r="AN25" i="7"/>
  <c r="AM25" i="7"/>
  <c r="AJ25" i="7"/>
  <c r="AI25" i="7"/>
  <c r="AF25" i="7"/>
  <c r="AE25" i="7"/>
  <c r="AB25" i="7"/>
  <c r="AA25" i="7"/>
  <c r="X25" i="7"/>
  <c r="W25" i="7"/>
  <c r="T25" i="7"/>
  <c r="S25" i="7"/>
  <c r="P25" i="7"/>
  <c r="O25" i="7"/>
  <c r="L25" i="7"/>
  <c r="K25" i="7"/>
  <c r="H25" i="7"/>
  <c r="DL24" i="7"/>
  <c r="DK24" i="7"/>
  <c r="DH24" i="7"/>
  <c r="DG24" i="7"/>
  <c r="DD24" i="7"/>
  <c r="DC24" i="7"/>
  <c r="CZ24" i="7"/>
  <c r="CY24" i="7"/>
  <c r="CV24" i="7"/>
  <c r="CU24" i="7"/>
  <c r="CR24" i="7"/>
  <c r="CQ24" i="7"/>
  <c r="CN24" i="7"/>
  <c r="CM24" i="7"/>
  <c r="CJ24" i="7"/>
  <c r="CI24" i="7"/>
  <c r="CF24" i="7"/>
  <c r="CE24" i="7"/>
  <c r="CB24" i="7"/>
  <c r="CA24" i="7"/>
  <c r="BX24" i="7"/>
  <c r="BW24" i="7"/>
  <c r="BT24" i="7"/>
  <c r="BS24" i="7"/>
  <c r="BP24" i="7"/>
  <c r="BO24" i="7"/>
  <c r="BL24" i="7"/>
  <c r="BK24" i="7"/>
  <c r="BH24" i="7"/>
  <c r="BG24" i="7"/>
  <c r="BD24" i="7"/>
  <c r="BC24" i="7"/>
  <c r="AZ24" i="7"/>
  <c r="AY24" i="7"/>
  <c r="AV24" i="7"/>
  <c r="AU24" i="7"/>
  <c r="AR24" i="7"/>
  <c r="AQ24" i="7"/>
  <c r="AN24" i="7"/>
  <c r="AM24" i="7"/>
  <c r="AJ24" i="7"/>
  <c r="AI24" i="7"/>
  <c r="AF24" i="7"/>
  <c r="AE24" i="7"/>
  <c r="AB24" i="7"/>
  <c r="AA24" i="7"/>
  <c r="X24" i="7"/>
  <c r="W24" i="7"/>
  <c r="T24" i="7"/>
  <c r="S24" i="7"/>
  <c r="P24" i="7"/>
  <c r="O24" i="7"/>
  <c r="L24" i="7"/>
  <c r="K24" i="7"/>
  <c r="H24" i="7"/>
  <c r="DJ23" i="7"/>
  <c r="DI23" i="7"/>
  <c r="DF23" i="7"/>
  <c r="DE23" i="7"/>
  <c r="DB23" i="7"/>
  <c r="DA23" i="7"/>
  <c r="CX23" i="7"/>
  <c r="CW23" i="7"/>
  <c r="CT23" i="7"/>
  <c r="CS23" i="7"/>
  <c r="CP23" i="7"/>
  <c r="CO23" i="7"/>
  <c r="CL23" i="7"/>
  <c r="CK23" i="7"/>
  <c r="CH23" i="7"/>
  <c r="CG23" i="7"/>
  <c r="CD23" i="7"/>
  <c r="CC23" i="7"/>
  <c r="BZ23" i="7"/>
  <c r="BY23" i="7"/>
  <c r="BV23" i="7"/>
  <c r="BU23" i="7"/>
  <c r="BR23" i="7"/>
  <c r="BQ23" i="7"/>
  <c r="BN23" i="7"/>
  <c r="BM23" i="7"/>
  <c r="BJ23" i="7"/>
  <c r="BI23" i="7"/>
  <c r="BF23" i="7"/>
  <c r="BE23" i="7"/>
  <c r="BB23" i="7"/>
  <c r="BA23" i="7"/>
  <c r="AX23" i="7"/>
  <c r="AW23" i="7"/>
  <c r="AT23" i="7"/>
  <c r="AS23" i="7"/>
  <c r="AP23" i="7"/>
  <c r="AO23" i="7"/>
  <c r="AL23" i="7"/>
  <c r="AK23" i="7"/>
  <c r="AH23" i="7"/>
  <c r="AG23" i="7"/>
  <c r="AD23" i="7"/>
  <c r="AC23" i="7"/>
  <c r="Z23" i="7"/>
  <c r="Y23" i="7"/>
  <c r="V23" i="7"/>
  <c r="U23" i="7"/>
  <c r="R23" i="7"/>
  <c r="Q23" i="7"/>
  <c r="N23" i="7"/>
  <c r="M23" i="7"/>
  <c r="J23" i="7"/>
  <c r="I23" i="7"/>
  <c r="H23" i="7"/>
  <c r="DL22" i="7"/>
  <c r="DK22" i="7"/>
  <c r="DH22" i="7"/>
  <c r="DG22" i="7"/>
  <c r="DD22" i="7"/>
  <c r="DC22" i="7"/>
  <c r="CZ22" i="7"/>
  <c r="CY22" i="7"/>
  <c r="CV22" i="7"/>
  <c r="CU22" i="7"/>
  <c r="CR22" i="7"/>
  <c r="CQ22" i="7"/>
  <c r="CN22" i="7"/>
  <c r="CM22" i="7"/>
  <c r="CJ22" i="7"/>
  <c r="CI22" i="7"/>
  <c r="CF22" i="7"/>
  <c r="CE22" i="7"/>
  <c r="CB22" i="7"/>
  <c r="CA22" i="7"/>
  <c r="BX22" i="7"/>
  <c r="BW22" i="7"/>
  <c r="BT22" i="7"/>
  <c r="BS22" i="7"/>
  <c r="BP22" i="7"/>
  <c r="BO22" i="7"/>
  <c r="BL22" i="7"/>
  <c r="BK22" i="7"/>
  <c r="BH22" i="7"/>
  <c r="BG22" i="7"/>
  <c r="BD22" i="7"/>
  <c r="BC22" i="7"/>
  <c r="AZ22" i="7"/>
  <c r="AY22" i="7"/>
  <c r="AV22" i="7"/>
  <c r="AU22" i="7"/>
  <c r="AR22" i="7"/>
  <c r="AQ22" i="7"/>
  <c r="AN22" i="7"/>
  <c r="AM22" i="7"/>
  <c r="AJ22" i="7"/>
  <c r="AI22" i="7"/>
  <c r="AF22" i="7"/>
  <c r="AE22" i="7"/>
  <c r="AB22" i="7"/>
  <c r="AA22" i="7"/>
  <c r="X22" i="7"/>
  <c r="W22" i="7"/>
  <c r="T22" i="7"/>
  <c r="S22" i="7"/>
  <c r="P22" i="7"/>
  <c r="O22" i="7"/>
  <c r="L22" i="7"/>
  <c r="K22" i="7"/>
  <c r="H22" i="7"/>
  <c r="DL21" i="7"/>
  <c r="DK21" i="7"/>
  <c r="DH21" i="7"/>
  <c r="DG21" i="7"/>
  <c r="DD21" i="7"/>
  <c r="DC21" i="7"/>
  <c r="CZ21" i="7"/>
  <c r="CY21" i="7"/>
  <c r="CV21" i="7"/>
  <c r="CU21" i="7"/>
  <c r="CR21" i="7"/>
  <c r="CQ21" i="7"/>
  <c r="CN21" i="7"/>
  <c r="CM21" i="7"/>
  <c r="CJ21" i="7"/>
  <c r="CI21" i="7"/>
  <c r="CF21" i="7"/>
  <c r="CE21" i="7"/>
  <c r="CB21" i="7"/>
  <c r="CA21" i="7"/>
  <c r="BX21" i="7"/>
  <c r="BW21" i="7"/>
  <c r="BT21" i="7"/>
  <c r="BS21" i="7"/>
  <c r="BP21" i="7"/>
  <c r="BO21" i="7"/>
  <c r="BL21" i="7"/>
  <c r="BK21" i="7"/>
  <c r="BH21" i="7"/>
  <c r="BG21" i="7"/>
  <c r="BD21" i="7"/>
  <c r="BC21" i="7"/>
  <c r="AZ21" i="7"/>
  <c r="AY21" i="7"/>
  <c r="AV21" i="7"/>
  <c r="AU21" i="7"/>
  <c r="AR21" i="7"/>
  <c r="AQ21" i="7"/>
  <c r="AN21" i="7"/>
  <c r="AM21" i="7"/>
  <c r="AJ21" i="7"/>
  <c r="AI21" i="7"/>
  <c r="AF21" i="7"/>
  <c r="AE21" i="7"/>
  <c r="AB21" i="7"/>
  <c r="AA21" i="7"/>
  <c r="X21" i="7"/>
  <c r="W21" i="7"/>
  <c r="T21" i="7"/>
  <c r="S21" i="7"/>
  <c r="P21" i="7"/>
  <c r="O21" i="7"/>
  <c r="L21" i="7"/>
  <c r="K21" i="7"/>
  <c r="H21" i="7"/>
  <c r="DL20" i="7"/>
  <c r="DK20" i="7"/>
  <c r="DH20" i="7"/>
  <c r="DG20" i="7"/>
  <c r="DD20" i="7"/>
  <c r="DC20" i="7"/>
  <c r="CZ20" i="7"/>
  <c r="CY20" i="7"/>
  <c r="CV20" i="7"/>
  <c r="CU20" i="7"/>
  <c r="CR20" i="7"/>
  <c r="CQ20" i="7"/>
  <c r="CN20" i="7"/>
  <c r="CM20" i="7"/>
  <c r="CJ20" i="7"/>
  <c r="CI20" i="7"/>
  <c r="CF20" i="7"/>
  <c r="CE20" i="7"/>
  <c r="CB20" i="7"/>
  <c r="CA20" i="7"/>
  <c r="BX20" i="7"/>
  <c r="BW20" i="7"/>
  <c r="BT20" i="7"/>
  <c r="BS20" i="7"/>
  <c r="BP20" i="7"/>
  <c r="BO20" i="7"/>
  <c r="BL20" i="7"/>
  <c r="BK20" i="7"/>
  <c r="BH20" i="7"/>
  <c r="BG20" i="7"/>
  <c r="BD20" i="7"/>
  <c r="BC20" i="7"/>
  <c r="AZ20" i="7"/>
  <c r="AY20" i="7"/>
  <c r="AV20" i="7"/>
  <c r="AU20" i="7"/>
  <c r="AR20" i="7"/>
  <c r="AQ20" i="7"/>
  <c r="AN20" i="7"/>
  <c r="AM20" i="7"/>
  <c r="AJ20" i="7"/>
  <c r="AI20" i="7"/>
  <c r="AF20" i="7"/>
  <c r="AE20" i="7"/>
  <c r="AB20" i="7"/>
  <c r="AA20" i="7"/>
  <c r="X20" i="7"/>
  <c r="W20" i="7"/>
  <c r="T20" i="7"/>
  <c r="S20" i="7"/>
  <c r="P20" i="7"/>
  <c r="O20" i="7"/>
  <c r="L20" i="7"/>
  <c r="K20" i="7"/>
  <c r="H20" i="7"/>
  <c r="DJ19" i="7"/>
  <c r="DI19" i="7"/>
  <c r="DF19" i="7"/>
  <c r="DE19" i="7"/>
  <c r="DB19" i="7"/>
  <c r="DA19" i="7"/>
  <c r="CX19" i="7"/>
  <c r="CW19" i="7"/>
  <c r="CT19" i="7"/>
  <c r="CS19" i="7"/>
  <c r="CP19" i="7"/>
  <c r="CO19" i="7"/>
  <c r="CL19" i="7"/>
  <c r="CK19" i="7"/>
  <c r="CH19" i="7"/>
  <c r="CG19" i="7"/>
  <c r="CD19" i="7"/>
  <c r="CC19" i="7"/>
  <c r="BZ19" i="7"/>
  <c r="BY19" i="7"/>
  <c r="BV19" i="7"/>
  <c r="BU19" i="7"/>
  <c r="BR19" i="7"/>
  <c r="BQ19" i="7"/>
  <c r="BN19" i="7"/>
  <c r="BM19" i="7"/>
  <c r="BJ19" i="7"/>
  <c r="BI19" i="7"/>
  <c r="BF19" i="7"/>
  <c r="BE19" i="7"/>
  <c r="BB19" i="7"/>
  <c r="BA19" i="7"/>
  <c r="AX19" i="7"/>
  <c r="AW19" i="7"/>
  <c r="AT19" i="7"/>
  <c r="AS19" i="7"/>
  <c r="AP19" i="7"/>
  <c r="AO19" i="7"/>
  <c r="AL19" i="7"/>
  <c r="AK19" i="7"/>
  <c r="AH19" i="7"/>
  <c r="AG19" i="7"/>
  <c r="AD19" i="7"/>
  <c r="AC19" i="7"/>
  <c r="Z19" i="7"/>
  <c r="Y19" i="7"/>
  <c r="V19" i="7"/>
  <c r="U19" i="7"/>
  <c r="R19" i="7"/>
  <c r="Q19" i="7"/>
  <c r="N19" i="7"/>
  <c r="M19" i="7"/>
  <c r="J19" i="7"/>
  <c r="I19" i="7"/>
  <c r="H19" i="7"/>
  <c r="DL18" i="7"/>
  <c r="DK18" i="7"/>
  <c r="DH18" i="7"/>
  <c r="DG18" i="7"/>
  <c r="DD18" i="7"/>
  <c r="DC18" i="7"/>
  <c r="CZ18" i="7"/>
  <c r="CY18" i="7"/>
  <c r="CV18" i="7"/>
  <c r="CU18" i="7"/>
  <c r="CR18" i="7"/>
  <c r="CQ18" i="7"/>
  <c r="CN18" i="7"/>
  <c r="CM18" i="7"/>
  <c r="CJ18" i="7"/>
  <c r="CI18" i="7"/>
  <c r="CF18" i="7"/>
  <c r="CE18" i="7"/>
  <c r="CB18" i="7"/>
  <c r="CA18" i="7"/>
  <c r="BX18" i="7"/>
  <c r="BW18" i="7"/>
  <c r="BT18" i="7"/>
  <c r="BS18" i="7"/>
  <c r="BP18" i="7"/>
  <c r="BO18" i="7"/>
  <c r="BL18" i="7"/>
  <c r="BK18" i="7"/>
  <c r="BH18" i="7"/>
  <c r="BG18" i="7"/>
  <c r="BD18" i="7"/>
  <c r="BC18" i="7"/>
  <c r="AZ18" i="7"/>
  <c r="AY18" i="7"/>
  <c r="AV18" i="7"/>
  <c r="AU18" i="7"/>
  <c r="AR18" i="7"/>
  <c r="AQ18" i="7"/>
  <c r="AN18" i="7"/>
  <c r="AM18" i="7"/>
  <c r="AJ18" i="7"/>
  <c r="AI18" i="7"/>
  <c r="AF18" i="7"/>
  <c r="AE18" i="7"/>
  <c r="AB18" i="7"/>
  <c r="AA18" i="7"/>
  <c r="X18" i="7"/>
  <c r="W18" i="7"/>
  <c r="T18" i="7"/>
  <c r="S18" i="7"/>
  <c r="P18" i="7"/>
  <c r="O18" i="7"/>
  <c r="L18" i="7"/>
  <c r="K18" i="7"/>
  <c r="H18" i="7"/>
  <c r="DL17" i="7"/>
  <c r="DK17" i="7"/>
  <c r="DH17" i="7"/>
  <c r="DG17" i="7"/>
  <c r="DD17" i="7"/>
  <c r="DC17" i="7"/>
  <c r="CZ17" i="7"/>
  <c r="CY17" i="7"/>
  <c r="CV17" i="7"/>
  <c r="CU17" i="7"/>
  <c r="CR17" i="7"/>
  <c r="CQ17" i="7"/>
  <c r="CN17" i="7"/>
  <c r="CM17" i="7"/>
  <c r="CJ17" i="7"/>
  <c r="CI17" i="7"/>
  <c r="CF17" i="7"/>
  <c r="CE17" i="7"/>
  <c r="CB17" i="7"/>
  <c r="CA17" i="7"/>
  <c r="BX17" i="7"/>
  <c r="BW17" i="7"/>
  <c r="BT17" i="7"/>
  <c r="BS17" i="7"/>
  <c r="BP17" i="7"/>
  <c r="BO17" i="7"/>
  <c r="BL17" i="7"/>
  <c r="BK17" i="7"/>
  <c r="BH17" i="7"/>
  <c r="BG17" i="7"/>
  <c r="BD17" i="7"/>
  <c r="BC17" i="7"/>
  <c r="AZ17" i="7"/>
  <c r="AY17" i="7"/>
  <c r="AV17" i="7"/>
  <c r="AU17" i="7"/>
  <c r="AR17" i="7"/>
  <c r="AQ17" i="7"/>
  <c r="AN17" i="7"/>
  <c r="AM17" i="7"/>
  <c r="AJ17" i="7"/>
  <c r="AI17" i="7"/>
  <c r="AF17" i="7"/>
  <c r="AE17" i="7"/>
  <c r="AB17" i="7"/>
  <c r="AA17" i="7"/>
  <c r="X17" i="7"/>
  <c r="W17" i="7"/>
  <c r="T17" i="7"/>
  <c r="S17" i="7"/>
  <c r="P17" i="7"/>
  <c r="O17" i="7"/>
  <c r="L17" i="7"/>
  <c r="K17" i="7"/>
  <c r="H17" i="7"/>
  <c r="DL16" i="7"/>
  <c r="DK16" i="7"/>
  <c r="DH16" i="7"/>
  <c r="DG16" i="7"/>
  <c r="DD16" i="7"/>
  <c r="DC16" i="7"/>
  <c r="CZ16" i="7"/>
  <c r="CY16" i="7"/>
  <c r="CV16" i="7"/>
  <c r="CU16" i="7"/>
  <c r="CR16" i="7"/>
  <c r="CQ16" i="7"/>
  <c r="CN16" i="7"/>
  <c r="CM16" i="7"/>
  <c r="CJ16" i="7"/>
  <c r="CI16" i="7"/>
  <c r="CF16" i="7"/>
  <c r="CE16" i="7"/>
  <c r="CB16" i="7"/>
  <c r="CA16" i="7"/>
  <c r="BX16" i="7"/>
  <c r="BW16" i="7"/>
  <c r="BT16" i="7"/>
  <c r="BS16" i="7"/>
  <c r="BP16" i="7"/>
  <c r="BO16" i="7"/>
  <c r="BL16" i="7"/>
  <c r="BK16" i="7"/>
  <c r="BH16" i="7"/>
  <c r="BG16" i="7"/>
  <c r="BD16" i="7"/>
  <c r="BC16" i="7"/>
  <c r="AZ16" i="7"/>
  <c r="AY16" i="7"/>
  <c r="AV16" i="7"/>
  <c r="AU16" i="7"/>
  <c r="AR16" i="7"/>
  <c r="AQ16" i="7"/>
  <c r="AN16" i="7"/>
  <c r="AM16" i="7"/>
  <c r="AJ16" i="7"/>
  <c r="AI16" i="7"/>
  <c r="AF16" i="7"/>
  <c r="AE16" i="7"/>
  <c r="AB16" i="7"/>
  <c r="AA16" i="7"/>
  <c r="X16" i="7"/>
  <c r="W16" i="7"/>
  <c r="T16" i="7"/>
  <c r="S16" i="7"/>
  <c r="P16" i="7"/>
  <c r="O16" i="7"/>
  <c r="L16" i="7"/>
  <c r="K16" i="7"/>
  <c r="H16" i="7"/>
  <c r="DJ15" i="7"/>
  <c r="DI15" i="7"/>
  <c r="DF15" i="7"/>
  <c r="DE15" i="7"/>
  <c r="DB15" i="7"/>
  <c r="DA15" i="7"/>
  <c r="CX15" i="7"/>
  <c r="CW15" i="7"/>
  <c r="CT15" i="7"/>
  <c r="CS15" i="7"/>
  <c r="CP15" i="7"/>
  <c r="CO15" i="7"/>
  <c r="CL15" i="7"/>
  <c r="CK15" i="7"/>
  <c r="CH15" i="7"/>
  <c r="CG15" i="7"/>
  <c r="CD15" i="7"/>
  <c r="CC15" i="7"/>
  <c r="BZ15" i="7"/>
  <c r="BY15" i="7"/>
  <c r="BV15" i="7"/>
  <c r="BU15" i="7"/>
  <c r="BR15" i="7"/>
  <c r="BQ15" i="7"/>
  <c r="BN15" i="7"/>
  <c r="BM15" i="7"/>
  <c r="BJ15" i="7"/>
  <c r="BI15" i="7"/>
  <c r="BF15" i="7"/>
  <c r="BE15" i="7"/>
  <c r="BB15" i="7"/>
  <c r="BA15" i="7"/>
  <c r="AX15" i="7"/>
  <c r="AW15" i="7"/>
  <c r="AT15" i="7"/>
  <c r="AS15" i="7"/>
  <c r="AP15" i="7"/>
  <c r="AO15" i="7"/>
  <c r="AL15" i="7"/>
  <c r="AK15" i="7"/>
  <c r="AH15" i="7"/>
  <c r="AG15" i="7"/>
  <c r="AD15" i="7"/>
  <c r="AC15" i="7"/>
  <c r="Z15" i="7"/>
  <c r="Y15" i="7"/>
  <c r="V15" i="7"/>
  <c r="U15" i="7"/>
  <c r="R15" i="7"/>
  <c r="Q15" i="7"/>
  <c r="N15" i="7"/>
  <c r="M15" i="7"/>
  <c r="J15" i="7"/>
  <c r="I15" i="7"/>
  <c r="H15" i="7"/>
  <c r="DL14" i="7"/>
  <c r="DK14" i="7"/>
  <c r="DH14" i="7"/>
  <c r="DG14" i="7"/>
  <c r="DD14" i="7"/>
  <c r="DC14" i="7"/>
  <c r="CZ14" i="7"/>
  <c r="CY14" i="7"/>
  <c r="CV14" i="7"/>
  <c r="CU14" i="7"/>
  <c r="CR14" i="7"/>
  <c r="CQ14" i="7"/>
  <c r="CN14" i="7"/>
  <c r="CM14" i="7"/>
  <c r="CJ14" i="7"/>
  <c r="CI14" i="7"/>
  <c r="CF14" i="7"/>
  <c r="CE14" i="7"/>
  <c r="CB14" i="7"/>
  <c r="CA14" i="7"/>
  <c r="BX14" i="7"/>
  <c r="BW14" i="7"/>
  <c r="BT14" i="7"/>
  <c r="BS14" i="7"/>
  <c r="BP14" i="7"/>
  <c r="BO14" i="7"/>
  <c r="BL14" i="7"/>
  <c r="BK14" i="7"/>
  <c r="BH14" i="7"/>
  <c r="BG14" i="7"/>
  <c r="BD14" i="7"/>
  <c r="BC14" i="7"/>
  <c r="AZ14" i="7"/>
  <c r="AY14" i="7"/>
  <c r="AV14" i="7"/>
  <c r="AU14" i="7"/>
  <c r="AR14" i="7"/>
  <c r="AQ14" i="7"/>
  <c r="AN14" i="7"/>
  <c r="AM14" i="7"/>
  <c r="AJ14" i="7"/>
  <c r="AI14" i="7"/>
  <c r="AF14" i="7"/>
  <c r="AE14" i="7"/>
  <c r="AB14" i="7"/>
  <c r="AA14" i="7"/>
  <c r="X14" i="7"/>
  <c r="W14" i="7"/>
  <c r="T14" i="7"/>
  <c r="S14" i="7"/>
  <c r="P14" i="7"/>
  <c r="O14" i="7"/>
  <c r="L14" i="7"/>
  <c r="K14" i="7"/>
  <c r="H14" i="7"/>
  <c r="DL13" i="7"/>
  <c r="DK13" i="7"/>
  <c r="DH13" i="7"/>
  <c r="DG13" i="7"/>
  <c r="DD13" i="7"/>
  <c r="DC13" i="7"/>
  <c r="CZ13" i="7"/>
  <c r="CY13" i="7"/>
  <c r="CV13" i="7"/>
  <c r="CU13" i="7"/>
  <c r="CR13" i="7"/>
  <c r="CQ13" i="7"/>
  <c r="CN13" i="7"/>
  <c r="CM13" i="7"/>
  <c r="CJ13" i="7"/>
  <c r="CI13" i="7"/>
  <c r="CF13" i="7"/>
  <c r="CE13" i="7"/>
  <c r="CB13" i="7"/>
  <c r="CA13" i="7"/>
  <c r="BX13" i="7"/>
  <c r="BW13" i="7"/>
  <c r="BT13" i="7"/>
  <c r="BS13" i="7"/>
  <c r="BP13" i="7"/>
  <c r="BO13" i="7"/>
  <c r="BL13" i="7"/>
  <c r="BK13" i="7"/>
  <c r="BH13" i="7"/>
  <c r="BG13" i="7"/>
  <c r="BD13" i="7"/>
  <c r="BC13" i="7"/>
  <c r="AZ13" i="7"/>
  <c r="AY13" i="7"/>
  <c r="AV13" i="7"/>
  <c r="AU13" i="7"/>
  <c r="AR13" i="7"/>
  <c r="AQ13" i="7"/>
  <c r="AN13" i="7"/>
  <c r="AM13" i="7"/>
  <c r="AJ13" i="7"/>
  <c r="AI13" i="7"/>
  <c r="AF13" i="7"/>
  <c r="AE13" i="7"/>
  <c r="AB13" i="7"/>
  <c r="AA13" i="7"/>
  <c r="X13" i="7"/>
  <c r="W13" i="7"/>
  <c r="T13" i="7"/>
  <c r="S13" i="7"/>
  <c r="P13" i="7"/>
  <c r="O13" i="7"/>
  <c r="L13" i="7"/>
  <c r="K13" i="7"/>
  <c r="H13" i="7"/>
  <c r="DL12" i="7"/>
  <c r="DK12" i="7"/>
  <c r="DH12" i="7"/>
  <c r="DG12" i="7"/>
  <c r="DD12" i="7"/>
  <c r="DC12" i="7"/>
  <c r="CZ12" i="7"/>
  <c r="CY12" i="7"/>
  <c r="CV12" i="7"/>
  <c r="CU12" i="7"/>
  <c r="CR12" i="7"/>
  <c r="CQ12" i="7"/>
  <c r="CN12" i="7"/>
  <c r="CM12" i="7"/>
  <c r="CJ12" i="7"/>
  <c r="CI12" i="7"/>
  <c r="CF12" i="7"/>
  <c r="CE12" i="7"/>
  <c r="CB12" i="7"/>
  <c r="CA12" i="7"/>
  <c r="BX12" i="7"/>
  <c r="BW12" i="7"/>
  <c r="BT12" i="7"/>
  <c r="BS12" i="7"/>
  <c r="BP12" i="7"/>
  <c r="BO12" i="7"/>
  <c r="BL12" i="7"/>
  <c r="BK12" i="7"/>
  <c r="BH12" i="7"/>
  <c r="BG12" i="7"/>
  <c r="BD12" i="7"/>
  <c r="BC12" i="7"/>
  <c r="AZ12" i="7"/>
  <c r="AY12" i="7"/>
  <c r="AV12" i="7"/>
  <c r="AU12" i="7"/>
  <c r="AR12" i="7"/>
  <c r="AQ12" i="7"/>
  <c r="AN12" i="7"/>
  <c r="AM12" i="7"/>
  <c r="AJ12" i="7"/>
  <c r="AI12" i="7"/>
  <c r="AF12" i="7"/>
  <c r="AE12" i="7"/>
  <c r="AB12" i="7"/>
  <c r="AA12" i="7"/>
  <c r="X12" i="7"/>
  <c r="W12" i="7"/>
  <c r="T12" i="7"/>
  <c r="S12" i="7"/>
  <c r="P12" i="7"/>
  <c r="O12" i="7"/>
  <c r="L12" i="7"/>
  <c r="K12" i="7"/>
  <c r="H12" i="7"/>
  <c r="DJ11" i="7"/>
  <c r="DI11" i="7"/>
  <c r="DF11" i="7"/>
  <c r="DE11" i="7"/>
  <c r="DB11" i="7"/>
  <c r="DA11" i="7"/>
  <c r="CX11" i="7"/>
  <c r="CW11" i="7"/>
  <c r="CT11" i="7"/>
  <c r="CS11" i="7"/>
  <c r="CP11" i="7"/>
  <c r="CO11" i="7"/>
  <c r="CL11" i="7"/>
  <c r="CK11" i="7"/>
  <c r="CH11" i="7"/>
  <c r="CG11" i="7"/>
  <c r="CD11" i="7"/>
  <c r="CC11" i="7"/>
  <c r="BZ11" i="7"/>
  <c r="BY11" i="7"/>
  <c r="BV11" i="7"/>
  <c r="BU11" i="7"/>
  <c r="BR11" i="7"/>
  <c r="BQ11" i="7"/>
  <c r="BN11" i="7"/>
  <c r="BM11" i="7"/>
  <c r="BJ11" i="7"/>
  <c r="BI11" i="7"/>
  <c r="BF11" i="7"/>
  <c r="BE11" i="7"/>
  <c r="BB11" i="7"/>
  <c r="BA11" i="7"/>
  <c r="AX11" i="7"/>
  <c r="AW11" i="7"/>
  <c r="AT11" i="7"/>
  <c r="AS11" i="7"/>
  <c r="AP11" i="7"/>
  <c r="AO11" i="7"/>
  <c r="AL11" i="7"/>
  <c r="AK11" i="7"/>
  <c r="AH11" i="7"/>
  <c r="AG11" i="7"/>
  <c r="AD11" i="7"/>
  <c r="AC11" i="7"/>
  <c r="Z11" i="7"/>
  <c r="Y11" i="7"/>
  <c r="V11" i="7"/>
  <c r="U11" i="7"/>
  <c r="R11" i="7"/>
  <c r="Q11" i="7"/>
  <c r="N11" i="7"/>
  <c r="M11" i="7"/>
  <c r="J11" i="7"/>
  <c r="I11" i="7"/>
  <c r="H11" i="7"/>
  <c r="DL10" i="7"/>
  <c r="DK10" i="7"/>
  <c r="DH10" i="7"/>
  <c r="DG10" i="7"/>
  <c r="DD10" i="7"/>
  <c r="DC10" i="7"/>
  <c r="CZ10" i="7"/>
  <c r="CY10" i="7"/>
  <c r="CV10" i="7"/>
  <c r="CU10" i="7"/>
  <c r="CR10" i="7"/>
  <c r="CQ10" i="7"/>
  <c r="CN10" i="7"/>
  <c r="CM10" i="7"/>
  <c r="CJ10" i="7"/>
  <c r="CI10" i="7"/>
  <c r="CF10" i="7"/>
  <c r="CE10" i="7"/>
  <c r="CB10" i="7"/>
  <c r="CA10" i="7"/>
  <c r="BX10" i="7"/>
  <c r="BW10" i="7"/>
  <c r="BT10" i="7"/>
  <c r="BS10" i="7"/>
  <c r="BP10" i="7"/>
  <c r="BO10" i="7"/>
  <c r="BL10" i="7"/>
  <c r="BK10" i="7"/>
  <c r="BH10" i="7"/>
  <c r="BG10" i="7"/>
  <c r="BD10" i="7"/>
  <c r="BC10" i="7"/>
  <c r="AZ10" i="7"/>
  <c r="AY10" i="7"/>
  <c r="AV10" i="7"/>
  <c r="AU10" i="7"/>
  <c r="AR10" i="7"/>
  <c r="AQ10" i="7"/>
  <c r="AN10" i="7"/>
  <c r="AM10" i="7"/>
  <c r="AJ10" i="7"/>
  <c r="AI10" i="7"/>
  <c r="AF10" i="7"/>
  <c r="AE10" i="7"/>
  <c r="AB10" i="7"/>
  <c r="AA10" i="7"/>
  <c r="X10" i="7"/>
  <c r="W10" i="7"/>
  <c r="T10" i="7"/>
  <c r="S10" i="7"/>
  <c r="P10" i="7"/>
  <c r="O10" i="7"/>
  <c r="L10" i="7"/>
  <c r="K10" i="7"/>
  <c r="H10" i="7"/>
  <c r="DL9" i="7"/>
  <c r="DK9" i="7"/>
  <c r="DH9" i="7"/>
  <c r="DG9" i="7"/>
  <c r="DD9" i="7"/>
  <c r="DC9" i="7"/>
  <c r="CZ9" i="7"/>
  <c r="CY9" i="7"/>
  <c r="CV9" i="7"/>
  <c r="CU9" i="7"/>
  <c r="CR9" i="7"/>
  <c r="CQ9" i="7"/>
  <c r="CN9" i="7"/>
  <c r="CM9" i="7"/>
  <c r="CJ9" i="7"/>
  <c r="CI9" i="7"/>
  <c r="CF9" i="7"/>
  <c r="CE9" i="7"/>
  <c r="CB9" i="7"/>
  <c r="CA9" i="7"/>
  <c r="BX9" i="7"/>
  <c r="BW9" i="7"/>
  <c r="BT9" i="7"/>
  <c r="BS9" i="7"/>
  <c r="BP9" i="7"/>
  <c r="BO9" i="7"/>
  <c r="BL9" i="7"/>
  <c r="BK9" i="7"/>
  <c r="BH9" i="7"/>
  <c r="BG9" i="7"/>
  <c r="BD9" i="7"/>
  <c r="BC9" i="7"/>
  <c r="AZ9" i="7"/>
  <c r="AY9" i="7"/>
  <c r="AV9" i="7"/>
  <c r="AU9" i="7"/>
  <c r="AR9" i="7"/>
  <c r="AQ9" i="7"/>
  <c r="AN9" i="7"/>
  <c r="AM9" i="7"/>
  <c r="AJ9" i="7"/>
  <c r="AI9" i="7"/>
  <c r="AF9" i="7"/>
  <c r="AE9" i="7"/>
  <c r="AB9" i="7"/>
  <c r="AA9" i="7"/>
  <c r="X9" i="7"/>
  <c r="W9" i="7"/>
  <c r="T9" i="7"/>
  <c r="S9" i="7"/>
  <c r="P9" i="7"/>
  <c r="O9" i="7"/>
  <c r="L9" i="7"/>
  <c r="K9" i="7"/>
  <c r="H9" i="7"/>
  <c r="DL8" i="7"/>
  <c r="DK8" i="7"/>
  <c r="DH8" i="7"/>
  <c r="DG8" i="7"/>
  <c r="DD8" i="7"/>
  <c r="DC8" i="7"/>
  <c r="CZ8" i="7"/>
  <c r="CY8" i="7"/>
  <c r="CV8" i="7"/>
  <c r="CU8" i="7"/>
  <c r="CR8" i="7"/>
  <c r="CQ8" i="7"/>
  <c r="CN8" i="7"/>
  <c r="CM8" i="7"/>
  <c r="CJ8" i="7"/>
  <c r="CI8" i="7"/>
  <c r="CF8" i="7"/>
  <c r="CE8" i="7"/>
  <c r="CB8" i="7"/>
  <c r="CA8" i="7"/>
  <c r="BX8" i="7"/>
  <c r="BW8" i="7"/>
  <c r="BT8" i="7"/>
  <c r="BS8" i="7"/>
  <c r="BP8" i="7"/>
  <c r="BO8" i="7"/>
  <c r="BL8" i="7"/>
  <c r="BK8" i="7"/>
  <c r="BH8" i="7"/>
  <c r="BG8" i="7"/>
  <c r="BD8" i="7"/>
  <c r="BC8" i="7"/>
  <c r="AZ8" i="7"/>
  <c r="AY8" i="7"/>
  <c r="AV8" i="7"/>
  <c r="AU8" i="7"/>
  <c r="AR8" i="7"/>
  <c r="AQ8" i="7"/>
  <c r="AN8" i="7"/>
  <c r="AM8" i="7"/>
  <c r="AJ8" i="7"/>
  <c r="AI8" i="7"/>
  <c r="AF8" i="7"/>
  <c r="AE8" i="7"/>
  <c r="AB8" i="7"/>
  <c r="AA8" i="7"/>
  <c r="X8" i="7"/>
  <c r="W8" i="7"/>
  <c r="T8" i="7"/>
  <c r="S8" i="7"/>
  <c r="P8" i="7"/>
  <c r="O8" i="7"/>
  <c r="L8" i="7"/>
  <c r="K8" i="7"/>
  <c r="H8" i="7"/>
  <c r="A8" i="7"/>
  <c r="A12" i="7" s="1"/>
  <c r="A16" i="7" s="1"/>
  <c r="A20" i="7" s="1"/>
  <c r="A24" i="7" s="1"/>
  <c r="A28" i="7" s="1"/>
  <c r="A32" i="7" s="1"/>
  <c r="A36" i="7" s="1"/>
  <c r="A40" i="7" s="1"/>
  <c r="A44" i="7" s="1"/>
  <c r="A48" i="7" s="1"/>
  <c r="A52" i="7" s="1"/>
  <c r="A56" i="7" s="1"/>
  <c r="A60" i="7" s="1"/>
  <c r="A64" i="7" s="1"/>
  <c r="DJ7" i="7"/>
  <c r="DI7" i="7"/>
  <c r="DF7" i="7"/>
  <c r="DE7" i="7"/>
  <c r="DB7" i="7"/>
  <c r="DA7" i="7"/>
  <c r="CX7" i="7"/>
  <c r="CW7" i="7"/>
  <c r="CT7" i="7"/>
  <c r="CS7" i="7"/>
  <c r="CP7" i="7"/>
  <c r="CO7" i="7"/>
  <c r="CL7" i="7"/>
  <c r="CK7" i="7"/>
  <c r="CH7" i="7"/>
  <c r="CG7" i="7"/>
  <c r="CD7" i="7"/>
  <c r="CC7" i="7"/>
  <c r="BZ7" i="7"/>
  <c r="BY7" i="7"/>
  <c r="BV7" i="7"/>
  <c r="BU7" i="7"/>
  <c r="BR7" i="7"/>
  <c r="BQ7" i="7"/>
  <c r="BN7" i="7"/>
  <c r="BM7" i="7"/>
  <c r="BJ7" i="7"/>
  <c r="BI7" i="7"/>
  <c r="BF7" i="7"/>
  <c r="BE7" i="7"/>
  <c r="BB7" i="7"/>
  <c r="BA7" i="7"/>
  <c r="AX7" i="7"/>
  <c r="AW7" i="7"/>
  <c r="AT7" i="7"/>
  <c r="AS7" i="7"/>
  <c r="AP7" i="7"/>
  <c r="AO7" i="7"/>
  <c r="AL7" i="7"/>
  <c r="AK7" i="7"/>
  <c r="AH7" i="7"/>
  <c r="AG7" i="7"/>
  <c r="AD7" i="7"/>
  <c r="AC7" i="7"/>
  <c r="Z7" i="7"/>
  <c r="Y7" i="7"/>
  <c r="V7" i="7"/>
  <c r="U7" i="7"/>
  <c r="R7" i="7"/>
  <c r="Q7" i="7"/>
  <c r="N7" i="7"/>
  <c r="M7" i="7"/>
  <c r="J7" i="7"/>
  <c r="I7" i="7"/>
  <c r="H7" i="7"/>
  <c r="DL6" i="7"/>
  <c r="DK6" i="7"/>
  <c r="DH6" i="7"/>
  <c r="DG6" i="7"/>
  <c r="DD6" i="7"/>
  <c r="DC6" i="7"/>
  <c r="CZ6" i="7"/>
  <c r="CY6" i="7"/>
  <c r="CV6" i="7"/>
  <c r="CU6" i="7"/>
  <c r="CR6" i="7"/>
  <c r="CQ6" i="7"/>
  <c r="CN6" i="7"/>
  <c r="CM6" i="7"/>
  <c r="CJ6" i="7"/>
  <c r="CI6" i="7"/>
  <c r="CF6" i="7"/>
  <c r="CE6" i="7"/>
  <c r="CB6" i="7"/>
  <c r="CA6" i="7"/>
  <c r="BX6" i="7"/>
  <c r="BW6" i="7"/>
  <c r="BT6" i="7"/>
  <c r="BS6" i="7"/>
  <c r="BP6" i="7"/>
  <c r="BO6" i="7"/>
  <c r="BL6" i="7"/>
  <c r="BK6" i="7"/>
  <c r="BH6" i="7"/>
  <c r="BG6" i="7"/>
  <c r="BD6" i="7"/>
  <c r="BC6" i="7"/>
  <c r="AZ6" i="7"/>
  <c r="AY6" i="7"/>
  <c r="AV6" i="7"/>
  <c r="AU6" i="7"/>
  <c r="AR6" i="7"/>
  <c r="AQ6" i="7"/>
  <c r="AN6" i="7"/>
  <c r="AM6" i="7"/>
  <c r="AJ6" i="7"/>
  <c r="AI6" i="7"/>
  <c r="AF6" i="7"/>
  <c r="AE6" i="7"/>
  <c r="AB6" i="7"/>
  <c r="AA6" i="7"/>
  <c r="X6" i="7"/>
  <c r="W6" i="7"/>
  <c r="T6" i="7"/>
  <c r="S6" i="7"/>
  <c r="P6" i="7"/>
  <c r="O6" i="7"/>
  <c r="L6" i="7"/>
  <c r="K6" i="7"/>
  <c r="H6" i="7"/>
  <c r="DL5" i="7"/>
  <c r="DK5" i="7"/>
  <c r="DH5" i="7"/>
  <c r="DG5" i="7"/>
  <c r="DD5" i="7"/>
  <c r="DC5" i="7"/>
  <c r="CZ5" i="7"/>
  <c r="CY5" i="7"/>
  <c r="CV5" i="7"/>
  <c r="CU5" i="7"/>
  <c r="CR5" i="7"/>
  <c r="CQ5" i="7"/>
  <c r="CN5" i="7"/>
  <c r="CM5" i="7"/>
  <c r="CJ5" i="7"/>
  <c r="CI5" i="7"/>
  <c r="CF5" i="7"/>
  <c r="CE5" i="7"/>
  <c r="CB5" i="7"/>
  <c r="CA5" i="7"/>
  <c r="BX5" i="7"/>
  <c r="BW5" i="7"/>
  <c r="BT5" i="7"/>
  <c r="BS5" i="7"/>
  <c r="BP5" i="7"/>
  <c r="BO5" i="7"/>
  <c r="BL5" i="7"/>
  <c r="BK5" i="7"/>
  <c r="BH5" i="7"/>
  <c r="BG5" i="7"/>
  <c r="BD5" i="7"/>
  <c r="BC5" i="7"/>
  <c r="AZ5" i="7"/>
  <c r="AY5" i="7"/>
  <c r="AV5" i="7"/>
  <c r="AU5" i="7"/>
  <c r="AR5" i="7"/>
  <c r="AQ5" i="7"/>
  <c r="AN5" i="7"/>
  <c r="AM5" i="7"/>
  <c r="AJ5" i="7"/>
  <c r="AI5" i="7"/>
  <c r="AF5" i="7"/>
  <c r="AE5" i="7"/>
  <c r="AB5" i="7"/>
  <c r="AA5" i="7"/>
  <c r="X5" i="7"/>
  <c r="W5" i="7"/>
  <c r="T5" i="7"/>
  <c r="S5" i="7"/>
  <c r="P5" i="7"/>
  <c r="O5" i="7"/>
  <c r="L5" i="7"/>
  <c r="K5" i="7"/>
  <c r="H5" i="7"/>
  <c r="DL4" i="7"/>
  <c r="DK4" i="7"/>
  <c r="DH4" i="7"/>
  <c r="DG4" i="7"/>
  <c r="DD4" i="7"/>
  <c r="DC4" i="7"/>
  <c r="CZ4" i="7"/>
  <c r="CY4" i="7"/>
  <c r="CV4" i="7"/>
  <c r="CU4" i="7"/>
  <c r="CR4" i="7"/>
  <c r="CQ4" i="7"/>
  <c r="CN4" i="7"/>
  <c r="CM4" i="7"/>
  <c r="CJ4" i="7"/>
  <c r="CI4" i="7"/>
  <c r="CF4" i="7"/>
  <c r="CE4" i="7"/>
  <c r="CB4" i="7"/>
  <c r="CA4" i="7"/>
  <c r="BX4" i="7"/>
  <c r="BW4" i="7"/>
  <c r="BT4" i="7"/>
  <c r="BS4" i="7"/>
  <c r="BP4" i="7"/>
  <c r="BO4" i="7"/>
  <c r="BL4" i="7"/>
  <c r="BK4" i="7"/>
  <c r="BH4" i="7"/>
  <c r="BG4" i="7"/>
  <c r="BD4" i="7"/>
  <c r="BC4" i="7"/>
  <c r="AZ4" i="7"/>
  <c r="AY4" i="7"/>
  <c r="AV4" i="7"/>
  <c r="AU4" i="7"/>
  <c r="AR4" i="7"/>
  <c r="AQ4" i="7"/>
  <c r="AN4" i="7"/>
  <c r="AM4" i="7"/>
  <c r="AJ4" i="7"/>
  <c r="AI4" i="7"/>
  <c r="AF4" i="7"/>
  <c r="AE4" i="7"/>
  <c r="AB4" i="7"/>
  <c r="AA4" i="7"/>
  <c r="X4" i="7"/>
  <c r="W4" i="7"/>
  <c r="T4" i="7"/>
  <c r="S4" i="7"/>
  <c r="P4" i="7"/>
  <c r="O4" i="7"/>
  <c r="L4" i="7"/>
  <c r="K4" i="7"/>
  <c r="H4" i="7"/>
  <c r="DG51" i="6"/>
  <c r="DF51" i="6"/>
  <c r="DC51" i="6"/>
  <c r="DB51" i="6"/>
  <c r="CY51" i="6"/>
  <c r="CX51" i="6"/>
  <c r="CU51" i="6"/>
  <c r="CT51" i="6"/>
  <c r="CQ51" i="6"/>
  <c r="CP51" i="6"/>
  <c r="CM51" i="6"/>
  <c r="CL51" i="6"/>
  <c r="CI51" i="6"/>
  <c r="CH51" i="6"/>
  <c r="CE51" i="6"/>
  <c r="CD51" i="6"/>
  <c r="CA51" i="6"/>
  <c r="BZ51" i="6"/>
  <c r="BW51" i="6"/>
  <c r="BV51" i="6"/>
  <c r="BS51" i="6"/>
  <c r="BR51" i="6"/>
  <c r="BO51" i="6"/>
  <c r="BN51" i="6"/>
  <c r="BK51" i="6"/>
  <c r="BJ51" i="6"/>
  <c r="BG51" i="6"/>
  <c r="BF51" i="6"/>
  <c r="BC51" i="6"/>
  <c r="BB51" i="6"/>
  <c r="AY51" i="6"/>
  <c r="AX51" i="6"/>
  <c r="AU51" i="6"/>
  <c r="AT51" i="6"/>
  <c r="AQ51" i="6"/>
  <c r="AP51" i="6"/>
  <c r="AM51" i="6"/>
  <c r="AL51" i="6"/>
  <c r="AI51" i="6"/>
  <c r="AH51" i="6"/>
  <c r="AE51" i="6"/>
  <c r="AD51" i="6"/>
  <c r="AA51" i="6"/>
  <c r="Z51" i="6"/>
  <c r="W51" i="6"/>
  <c r="V51" i="6"/>
  <c r="S51" i="6"/>
  <c r="R51" i="6"/>
  <c r="O51" i="6"/>
  <c r="N51" i="6"/>
  <c r="K51" i="6"/>
  <c r="J51" i="6"/>
  <c r="G51" i="6"/>
  <c r="F51" i="6"/>
  <c r="DG50" i="6"/>
  <c r="DF50" i="6"/>
  <c r="DC50" i="6"/>
  <c r="DB50" i="6"/>
  <c r="CY50" i="6"/>
  <c r="CX50" i="6"/>
  <c r="CU50" i="6"/>
  <c r="CT50" i="6"/>
  <c r="CQ50" i="6"/>
  <c r="CP50" i="6"/>
  <c r="CM50" i="6"/>
  <c r="CL50" i="6"/>
  <c r="CI50" i="6"/>
  <c r="CH50" i="6"/>
  <c r="CE50" i="6"/>
  <c r="CD50" i="6"/>
  <c r="CA50" i="6"/>
  <c r="BZ50" i="6"/>
  <c r="BW50" i="6"/>
  <c r="BV50" i="6"/>
  <c r="BS50" i="6"/>
  <c r="BR50" i="6"/>
  <c r="BO50" i="6"/>
  <c r="BN50" i="6"/>
  <c r="BK50" i="6"/>
  <c r="BJ50" i="6"/>
  <c r="BG50" i="6"/>
  <c r="BF50" i="6"/>
  <c r="BC50" i="6"/>
  <c r="BB50" i="6"/>
  <c r="AY50" i="6"/>
  <c r="AX50" i="6"/>
  <c r="AU50" i="6"/>
  <c r="AT50" i="6"/>
  <c r="AQ50" i="6"/>
  <c r="AP50" i="6"/>
  <c r="AM50" i="6"/>
  <c r="AL50" i="6"/>
  <c r="AI50" i="6"/>
  <c r="AH50" i="6"/>
  <c r="AE50" i="6"/>
  <c r="AD50" i="6"/>
  <c r="AA50" i="6"/>
  <c r="Z50" i="6"/>
  <c r="W50" i="6"/>
  <c r="V50" i="6"/>
  <c r="S50" i="6"/>
  <c r="R50" i="6"/>
  <c r="O50" i="6"/>
  <c r="N50" i="6"/>
  <c r="K50" i="6"/>
  <c r="J50" i="6"/>
  <c r="G50" i="6"/>
  <c r="F50" i="6"/>
  <c r="DG49" i="6"/>
  <c r="DF49" i="6"/>
  <c r="DC49" i="6"/>
  <c r="DB49" i="6"/>
  <c r="CY49" i="6"/>
  <c r="CX49" i="6"/>
  <c r="CU49" i="6"/>
  <c r="CT49" i="6"/>
  <c r="CQ49" i="6"/>
  <c r="CP49" i="6"/>
  <c r="CM49" i="6"/>
  <c r="CL49" i="6"/>
  <c r="CI49" i="6"/>
  <c r="CH49" i="6"/>
  <c r="CE49" i="6"/>
  <c r="CD49" i="6"/>
  <c r="CA49" i="6"/>
  <c r="BZ49" i="6"/>
  <c r="BW49" i="6"/>
  <c r="BV49" i="6"/>
  <c r="BS49" i="6"/>
  <c r="BR49" i="6"/>
  <c r="BO49" i="6"/>
  <c r="BN49" i="6"/>
  <c r="BK49" i="6"/>
  <c r="BJ49" i="6"/>
  <c r="BG49" i="6"/>
  <c r="BF49" i="6"/>
  <c r="BC49" i="6"/>
  <c r="BB49" i="6"/>
  <c r="AY49" i="6"/>
  <c r="AX49" i="6"/>
  <c r="AU49" i="6"/>
  <c r="AT49" i="6"/>
  <c r="AQ49" i="6"/>
  <c r="AP49" i="6"/>
  <c r="AM49" i="6"/>
  <c r="AL49" i="6"/>
  <c r="AI49" i="6"/>
  <c r="AH49" i="6"/>
  <c r="AE49" i="6"/>
  <c r="AD49" i="6"/>
  <c r="AA49" i="6"/>
  <c r="Z49" i="6"/>
  <c r="W49" i="6"/>
  <c r="V49" i="6"/>
  <c r="S49" i="6"/>
  <c r="R49" i="6"/>
  <c r="O49" i="6"/>
  <c r="N49" i="6"/>
  <c r="K49" i="6"/>
  <c r="J49" i="6"/>
  <c r="G49" i="6"/>
  <c r="F49" i="6"/>
  <c r="DG48" i="6"/>
  <c r="DF48" i="6"/>
  <c r="DC48" i="6"/>
  <c r="DB48" i="6"/>
  <c r="CY48" i="6"/>
  <c r="CX48" i="6"/>
  <c r="CU48" i="6"/>
  <c r="CT48" i="6"/>
  <c r="CQ48" i="6"/>
  <c r="CP48" i="6"/>
  <c r="CM48" i="6"/>
  <c r="CL48" i="6"/>
  <c r="CI48" i="6"/>
  <c r="CH48" i="6"/>
  <c r="CE48" i="6"/>
  <c r="CD48" i="6"/>
  <c r="CA48" i="6"/>
  <c r="BZ48" i="6"/>
  <c r="BW48" i="6"/>
  <c r="BV48" i="6"/>
  <c r="BS48" i="6"/>
  <c r="BR48" i="6"/>
  <c r="BO48" i="6"/>
  <c r="BN48" i="6"/>
  <c r="BK48" i="6"/>
  <c r="BJ48" i="6"/>
  <c r="BG48" i="6"/>
  <c r="BF48" i="6"/>
  <c r="BC48" i="6"/>
  <c r="BB48" i="6"/>
  <c r="AY48" i="6"/>
  <c r="AX48" i="6"/>
  <c r="AU48" i="6"/>
  <c r="AT48" i="6"/>
  <c r="AQ48" i="6"/>
  <c r="AP48" i="6"/>
  <c r="AM48" i="6"/>
  <c r="AL48" i="6"/>
  <c r="AI48" i="6"/>
  <c r="AH48" i="6"/>
  <c r="AE48" i="6"/>
  <c r="AD48" i="6"/>
  <c r="AA48" i="6"/>
  <c r="Z48" i="6"/>
  <c r="W48" i="6"/>
  <c r="V48" i="6"/>
  <c r="S48" i="6"/>
  <c r="R48" i="6"/>
  <c r="O48" i="6"/>
  <c r="N48" i="6"/>
  <c r="K48" i="6"/>
  <c r="J48" i="6"/>
  <c r="G48" i="6"/>
  <c r="F48" i="6"/>
  <c r="DG47" i="6"/>
  <c r="DF47" i="6"/>
  <c r="DC47" i="6"/>
  <c r="DB47" i="6"/>
  <c r="CY47" i="6"/>
  <c r="CX47" i="6"/>
  <c r="CU47" i="6"/>
  <c r="CT47" i="6"/>
  <c r="CQ47" i="6"/>
  <c r="CP47" i="6"/>
  <c r="CM47" i="6"/>
  <c r="CL47" i="6"/>
  <c r="CI47" i="6"/>
  <c r="CH47" i="6"/>
  <c r="CE47" i="6"/>
  <c r="CD47" i="6"/>
  <c r="CA47" i="6"/>
  <c r="BZ47" i="6"/>
  <c r="BW47" i="6"/>
  <c r="BV47" i="6"/>
  <c r="BS47" i="6"/>
  <c r="BR47" i="6"/>
  <c r="BO47" i="6"/>
  <c r="BN47" i="6"/>
  <c r="BK47" i="6"/>
  <c r="BJ47" i="6"/>
  <c r="BG47" i="6"/>
  <c r="BF47" i="6"/>
  <c r="BC47" i="6"/>
  <c r="BB47" i="6"/>
  <c r="AY47" i="6"/>
  <c r="AX47" i="6"/>
  <c r="AU47" i="6"/>
  <c r="AT47" i="6"/>
  <c r="AQ47" i="6"/>
  <c r="AP47" i="6"/>
  <c r="AM47" i="6"/>
  <c r="AL47" i="6"/>
  <c r="AI47" i="6"/>
  <c r="AH47" i="6"/>
  <c r="AE47" i="6"/>
  <c r="AD47" i="6"/>
  <c r="AA47" i="6"/>
  <c r="Z47" i="6"/>
  <c r="W47" i="6"/>
  <c r="V47" i="6"/>
  <c r="S47" i="6"/>
  <c r="R47" i="6"/>
  <c r="O47" i="6"/>
  <c r="N47" i="6"/>
  <c r="K47" i="6"/>
  <c r="J47" i="6"/>
  <c r="G47" i="6"/>
  <c r="F47" i="6"/>
  <c r="DG46" i="6"/>
  <c r="DF46" i="6"/>
  <c r="DC46" i="6"/>
  <c r="DB46" i="6"/>
  <c r="CY46" i="6"/>
  <c r="CX46" i="6"/>
  <c r="CU46" i="6"/>
  <c r="CT46" i="6"/>
  <c r="CQ46" i="6"/>
  <c r="CP46" i="6"/>
  <c r="CM46" i="6"/>
  <c r="CL46" i="6"/>
  <c r="CI46" i="6"/>
  <c r="CH46" i="6"/>
  <c r="CE46" i="6"/>
  <c r="CD46" i="6"/>
  <c r="CA46" i="6"/>
  <c r="BZ46" i="6"/>
  <c r="BW46" i="6"/>
  <c r="BV46" i="6"/>
  <c r="BS46" i="6"/>
  <c r="BR46" i="6"/>
  <c r="BO46" i="6"/>
  <c r="BN46" i="6"/>
  <c r="BK46" i="6"/>
  <c r="BJ46" i="6"/>
  <c r="BG46" i="6"/>
  <c r="BF46" i="6"/>
  <c r="BC46" i="6"/>
  <c r="BB46" i="6"/>
  <c r="AY46" i="6"/>
  <c r="AX46" i="6"/>
  <c r="AU46" i="6"/>
  <c r="AT46" i="6"/>
  <c r="AQ46" i="6"/>
  <c r="AP46" i="6"/>
  <c r="AM46" i="6"/>
  <c r="AL46" i="6"/>
  <c r="AI46" i="6"/>
  <c r="AH46" i="6"/>
  <c r="AE46" i="6"/>
  <c r="AD46" i="6"/>
  <c r="AA46" i="6"/>
  <c r="Z46" i="6"/>
  <c r="W46" i="6"/>
  <c r="V46" i="6"/>
  <c r="S46" i="6"/>
  <c r="R46" i="6"/>
  <c r="O46" i="6"/>
  <c r="N46" i="6"/>
  <c r="K46" i="6"/>
  <c r="J46" i="6"/>
  <c r="G46" i="6"/>
  <c r="F46" i="6"/>
  <c r="DG45" i="6"/>
  <c r="DF45" i="6"/>
  <c r="DC45" i="6"/>
  <c r="DB45" i="6"/>
  <c r="CY45" i="6"/>
  <c r="CX45" i="6"/>
  <c r="CU45" i="6"/>
  <c r="CT45" i="6"/>
  <c r="CQ45" i="6"/>
  <c r="CP45" i="6"/>
  <c r="CM45" i="6"/>
  <c r="CL45" i="6"/>
  <c r="CI45" i="6"/>
  <c r="CH45" i="6"/>
  <c r="CE45" i="6"/>
  <c r="CD45" i="6"/>
  <c r="CA45" i="6"/>
  <c r="BZ45" i="6"/>
  <c r="BW45" i="6"/>
  <c r="BV45" i="6"/>
  <c r="BS45" i="6"/>
  <c r="BR45" i="6"/>
  <c r="BO45" i="6"/>
  <c r="BN45" i="6"/>
  <c r="BK45" i="6"/>
  <c r="BJ45" i="6"/>
  <c r="BG45" i="6"/>
  <c r="BF45" i="6"/>
  <c r="BC45" i="6"/>
  <c r="BB45" i="6"/>
  <c r="AY45" i="6"/>
  <c r="AX45" i="6"/>
  <c r="AU45" i="6"/>
  <c r="AT45" i="6"/>
  <c r="AQ45" i="6"/>
  <c r="AP45" i="6"/>
  <c r="AM45" i="6"/>
  <c r="AL45" i="6"/>
  <c r="AI45" i="6"/>
  <c r="AH45" i="6"/>
  <c r="AE45" i="6"/>
  <c r="AD45" i="6"/>
  <c r="AA45" i="6"/>
  <c r="Z45" i="6"/>
  <c r="W45" i="6"/>
  <c r="V45" i="6"/>
  <c r="S45" i="6"/>
  <c r="R45" i="6"/>
  <c r="O45" i="6"/>
  <c r="N45" i="6"/>
  <c r="K45" i="6"/>
  <c r="J45" i="6"/>
  <c r="G45" i="6"/>
  <c r="F45" i="6"/>
  <c r="DG44" i="6"/>
  <c r="DF44" i="6"/>
  <c r="DC44" i="6"/>
  <c r="DB44" i="6"/>
  <c r="CY44" i="6"/>
  <c r="CX44" i="6"/>
  <c r="CU44" i="6"/>
  <c r="CT44" i="6"/>
  <c r="CQ44" i="6"/>
  <c r="CP44" i="6"/>
  <c r="CM44" i="6"/>
  <c r="CL44" i="6"/>
  <c r="CI44" i="6"/>
  <c r="CH44" i="6"/>
  <c r="CE44" i="6"/>
  <c r="CD44" i="6"/>
  <c r="CA44" i="6"/>
  <c r="BZ44" i="6"/>
  <c r="BW44" i="6"/>
  <c r="BV44" i="6"/>
  <c r="BS44" i="6"/>
  <c r="BR44" i="6"/>
  <c r="BO44" i="6"/>
  <c r="BN44" i="6"/>
  <c r="BK44" i="6"/>
  <c r="BJ44" i="6"/>
  <c r="BG44" i="6"/>
  <c r="BF44" i="6"/>
  <c r="BC44" i="6"/>
  <c r="BB44" i="6"/>
  <c r="AY44" i="6"/>
  <c r="AX44" i="6"/>
  <c r="AU44" i="6"/>
  <c r="AT44" i="6"/>
  <c r="AQ44" i="6"/>
  <c r="AP44" i="6"/>
  <c r="AM44" i="6"/>
  <c r="AL44" i="6"/>
  <c r="AI44" i="6"/>
  <c r="AH44" i="6"/>
  <c r="AE44" i="6"/>
  <c r="AD44" i="6"/>
  <c r="AA44" i="6"/>
  <c r="Z44" i="6"/>
  <c r="W44" i="6"/>
  <c r="V44" i="6"/>
  <c r="S44" i="6"/>
  <c r="R44" i="6"/>
  <c r="O44" i="6"/>
  <c r="N44" i="6"/>
  <c r="K44" i="6"/>
  <c r="J44" i="6"/>
  <c r="G44" i="6"/>
  <c r="F44" i="6"/>
  <c r="DG43" i="6"/>
  <c r="DF43" i="6"/>
  <c r="DC43" i="6"/>
  <c r="DB43" i="6"/>
  <c r="CY43" i="6"/>
  <c r="CX43" i="6"/>
  <c r="CU43" i="6"/>
  <c r="CT43" i="6"/>
  <c r="CQ43" i="6"/>
  <c r="CP43" i="6"/>
  <c r="CM43" i="6"/>
  <c r="CL43" i="6"/>
  <c r="CI43" i="6"/>
  <c r="CH43" i="6"/>
  <c r="CE43" i="6"/>
  <c r="CD43" i="6"/>
  <c r="CA43" i="6"/>
  <c r="BZ43" i="6"/>
  <c r="BW43" i="6"/>
  <c r="BV43" i="6"/>
  <c r="BS43" i="6"/>
  <c r="BR43" i="6"/>
  <c r="BO43" i="6"/>
  <c r="BN43" i="6"/>
  <c r="BK43" i="6"/>
  <c r="BJ43" i="6"/>
  <c r="BG43" i="6"/>
  <c r="BF43" i="6"/>
  <c r="BC43" i="6"/>
  <c r="BB43" i="6"/>
  <c r="AY43" i="6"/>
  <c r="AX43" i="6"/>
  <c r="AU43" i="6"/>
  <c r="AT43" i="6"/>
  <c r="AQ43" i="6"/>
  <c r="AP43" i="6"/>
  <c r="AM43" i="6"/>
  <c r="AL43" i="6"/>
  <c r="AI43" i="6"/>
  <c r="AH43" i="6"/>
  <c r="AE43" i="6"/>
  <c r="AD43" i="6"/>
  <c r="AA43" i="6"/>
  <c r="Z43" i="6"/>
  <c r="W43" i="6"/>
  <c r="V43" i="6"/>
  <c r="S43" i="6"/>
  <c r="R43" i="6"/>
  <c r="O43" i="6"/>
  <c r="N43" i="6"/>
  <c r="K43" i="6"/>
  <c r="J43" i="6"/>
  <c r="G43" i="6"/>
  <c r="F43" i="6"/>
  <c r="DG42" i="6"/>
  <c r="DF42" i="6"/>
  <c r="DC42" i="6"/>
  <c r="DB42" i="6"/>
  <c r="CY42" i="6"/>
  <c r="CX42" i="6"/>
  <c r="CU42" i="6"/>
  <c r="CT42" i="6"/>
  <c r="CQ42" i="6"/>
  <c r="CP42" i="6"/>
  <c r="CM42" i="6"/>
  <c r="CL42" i="6"/>
  <c r="CI42" i="6"/>
  <c r="CH42" i="6"/>
  <c r="CE42" i="6"/>
  <c r="CD42" i="6"/>
  <c r="CA42" i="6"/>
  <c r="BZ42" i="6"/>
  <c r="BW42" i="6"/>
  <c r="BV42" i="6"/>
  <c r="BS42" i="6"/>
  <c r="BR42" i="6"/>
  <c r="BO42" i="6"/>
  <c r="BN42" i="6"/>
  <c r="BK42" i="6"/>
  <c r="BJ42" i="6"/>
  <c r="BG42" i="6"/>
  <c r="BF42" i="6"/>
  <c r="BC42" i="6"/>
  <c r="BB42" i="6"/>
  <c r="AY42" i="6"/>
  <c r="AX42" i="6"/>
  <c r="AU42" i="6"/>
  <c r="AT42" i="6"/>
  <c r="AQ42" i="6"/>
  <c r="AP42" i="6"/>
  <c r="AM42" i="6"/>
  <c r="AL42" i="6"/>
  <c r="AI42" i="6"/>
  <c r="AH42" i="6"/>
  <c r="AE42" i="6"/>
  <c r="AD42" i="6"/>
  <c r="AA42" i="6"/>
  <c r="Z42" i="6"/>
  <c r="W42" i="6"/>
  <c r="V42" i="6"/>
  <c r="S42" i="6"/>
  <c r="R42" i="6"/>
  <c r="O42" i="6"/>
  <c r="N42" i="6"/>
  <c r="K42" i="6"/>
  <c r="J42" i="6"/>
  <c r="G42" i="6"/>
  <c r="F42" i="6"/>
  <c r="DG41" i="6"/>
  <c r="DF41" i="6"/>
  <c r="DC41" i="6"/>
  <c r="DB41" i="6"/>
  <c r="CY41" i="6"/>
  <c r="CX41" i="6"/>
  <c r="CU41" i="6"/>
  <c r="CT41" i="6"/>
  <c r="CQ41" i="6"/>
  <c r="CP41" i="6"/>
  <c r="CM41" i="6"/>
  <c r="CL41" i="6"/>
  <c r="CI41" i="6"/>
  <c r="CH41" i="6"/>
  <c r="CE41" i="6"/>
  <c r="CD41" i="6"/>
  <c r="CA41" i="6"/>
  <c r="BZ41" i="6"/>
  <c r="BW41" i="6"/>
  <c r="BV41" i="6"/>
  <c r="BS41" i="6"/>
  <c r="BR41" i="6"/>
  <c r="BO41" i="6"/>
  <c r="BN41" i="6"/>
  <c r="BK41" i="6"/>
  <c r="BJ41" i="6"/>
  <c r="BG41" i="6"/>
  <c r="BF41" i="6"/>
  <c r="BC41" i="6"/>
  <c r="BB41" i="6"/>
  <c r="AY41" i="6"/>
  <c r="AX41" i="6"/>
  <c r="AU41" i="6"/>
  <c r="AT41" i="6"/>
  <c r="AQ41" i="6"/>
  <c r="AP41" i="6"/>
  <c r="AM41" i="6"/>
  <c r="AL41" i="6"/>
  <c r="AI41" i="6"/>
  <c r="AH41" i="6"/>
  <c r="AE41" i="6"/>
  <c r="AD41" i="6"/>
  <c r="AA41" i="6"/>
  <c r="Z41" i="6"/>
  <c r="W41" i="6"/>
  <c r="V41" i="6"/>
  <c r="S41" i="6"/>
  <c r="R41" i="6"/>
  <c r="O41" i="6"/>
  <c r="N41" i="6"/>
  <c r="K41" i="6"/>
  <c r="J41" i="6"/>
  <c r="G41" i="6"/>
  <c r="F41" i="6"/>
  <c r="DG40" i="6"/>
  <c r="DF40" i="6"/>
  <c r="DC40" i="6"/>
  <c r="DB40" i="6"/>
  <c r="CY40" i="6"/>
  <c r="CX40" i="6"/>
  <c r="CU40" i="6"/>
  <c r="CT40" i="6"/>
  <c r="CQ40" i="6"/>
  <c r="CP40" i="6"/>
  <c r="CM40" i="6"/>
  <c r="CL40" i="6"/>
  <c r="CI40" i="6"/>
  <c r="CH40" i="6"/>
  <c r="CE40" i="6"/>
  <c r="CD40" i="6"/>
  <c r="CA40" i="6"/>
  <c r="BZ40" i="6"/>
  <c r="BW40" i="6"/>
  <c r="BV40" i="6"/>
  <c r="BS40" i="6"/>
  <c r="BR40" i="6"/>
  <c r="BO40" i="6"/>
  <c r="BN40" i="6"/>
  <c r="BK40" i="6"/>
  <c r="BJ40" i="6"/>
  <c r="BG40" i="6"/>
  <c r="BF40" i="6"/>
  <c r="BC40" i="6"/>
  <c r="BB40" i="6"/>
  <c r="AY40" i="6"/>
  <c r="AX40" i="6"/>
  <c r="AU40" i="6"/>
  <c r="AT40" i="6"/>
  <c r="AQ40" i="6"/>
  <c r="AP40" i="6"/>
  <c r="AM40" i="6"/>
  <c r="AL40" i="6"/>
  <c r="AI40" i="6"/>
  <c r="AH40" i="6"/>
  <c r="AE40" i="6"/>
  <c r="AD40" i="6"/>
  <c r="AA40" i="6"/>
  <c r="Z40" i="6"/>
  <c r="W40" i="6"/>
  <c r="V40" i="6"/>
  <c r="S40" i="6"/>
  <c r="R40" i="6"/>
  <c r="O40" i="6"/>
  <c r="N40" i="6"/>
  <c r="K40" i="6"/>
  <c r="J40" i="6"/>
  <c r="G40" i="6"/>
  <c r="F40" i="6"/>
  <c r="DG39" i="6"/>
  <c r="DF39" i="6"/>
  <c r="DC39" i="6"/>
  <c r="DB39" i="6"/>
  <c r="CY39" i="6"/>
  <c r="CX39" i="6"/>
  <c r="CU39" i="6"/>
  <c r="CT39" i="6"/>
  <c r="CQ39" i="6"/>
  <c r="CP39" i="6"/>
  <c r="CM39" i="6"/>
  <c r="CL39" i="6"/>
  <c r="CI39" i="6"/>
  <c r="CH39" i="6"/>
  <c r="CE39" i="6"/>
  <c r="CD39" i="6"/>
  <c r="CA39" i="6"/>
  <c r="BZ39" i="6"/>
  <c r="BW39" i="6"/>
  <c r="BV39" i="6"/>
  <c r="BS39" i="6"/>
  <c r="BR39" i="6"/>
  <c r="BO39" i="6"/>
  <c r="BN39" i="6"/>
  <c r="BK39" i="6"/>
  <c r="BJ39" i="6"/>
  <c r="BG39" i="6"/>
  <c r="BF39" i="6"/>
  <c r="BC39" i="6"/>
  <c r="BB39" i="6"/>
  <c r="AY39" i="6"/>
  <c r="AX39" i="6"/>
  <c r="AU39" i="6"/>
  <c r="AT39" i="6"/>
  <c r="AQ39" i="6"/>
  <c r="AP39" i="6"/>
  <c r="AM39" i="6"/>
  <c r="AL39" i="6"/>
  <c r="AI39" i="6"/>
  <c r="AH39" i="6"/>
  <c r="AE39" i="6"/>
  <c r="AD39" i="6"/>
  <c r="AA39" i="6"/>
  <c r="Z39" i="6"/>
  <c r="W39" i="6"/>
  <c r="V39" i="6"/>
  <c r="S39" i="6"/>
  <c r="R39" i="6"/>
  <c r="O39" i="6"/>
  <c r="N39" i="6"/>
  <c r="K39" i="6"/>
  <c r="J39" i="6"/>
  <c r="G39" i="6"/>
  <c r="F39" i="6"/>
  <c r="DG38" i="6"/>
  <c r="DF38" i="6"/>
  <c r="DC38" i="6"/>
  <c r="DB38" i="6"/>
  <c r="CY38" i="6"/>
  <c r="CX38" i="6"/>
  <c r="CU38" i="6"/>
  <c r="CT38" i="6"/>
  <c r="CQ38" i="6"/>
  <c r="CP38" i="6"/>
  <c r="CM38" i="6"/>
  <c r="CL38" i="6"/>
  <c r="CI38" i="6"/>
  <c r="CH38" i="6"/>
  <c r="CE38" i="6"/>
  <c r="CD38" i="6"/>
  <c r="CA38" i="6"/>
  <c r="BZ38" i="6"/>
  <c r="BW38" i="6"/>
  <c r="BV38" i="6"/>
  <c r="BS38" i="6"/>
  <c r="BR38" i="6"/>
  <c r="BO38" i="6"/>
  <c r="BN38" i="6"/>
  <c r="BK38" i="6"/>
  <c r="BJ38" i="6"/>
  <c r="BG38" i="6"/>
  <c r="BF38" i="6"/>
  <c r="BC38" i="6"/>
  <c r="BB38" i="6"/>
  <c r="AY38" i="6"/>
  <c r="AX38" i="6"/>
  <c r="AU38" i="6"/>
  <c r="AT38" i="6"/>
  <c r="AQ38" i="6"/>
  <c r="AP38" i="6"/>
  <c r="AM38" i="6"/>
  <c r="AL38" i="6"/>
  <c r="AI38" i="6"/>
  <c r="AH38" i="6"/>
  <c r="AE38" i="6"/>
  <c r="AD38" i="6"/>
  <c r="AA38" i="6"/>
  <c r="Z38" i="6"/>
  <c r="W38" i="6"/>
  <c r="V38" i="6"/>
  <c r="S38" i="6"/>
  <c r="R38" i="6"/>
  <c r="O38" i="6"/>
  <c r="N38" i="6"/>
  <c r="K38" i="6"/>
  <c r="J38" i="6"/>
  <c r="G38" i="6"/>
  <c r="F38" i="6"/>
  <c r="DG37" i="6"/>
  <c r="DF37" i="6"/>
  <c r="DC37" i="6"/>
  <c r="DB37" i="6"/>
  <c r="CY37" i="6"/>
  <c r="CX37" i="6"/>
  <c r="CU37" i="6"/>
  <c r="CT37" i="6"/>
  <c r="CQ37" i="6"/>
  <c r="CP37" i="6"/>
  <c r="CM37" i="6"/>
  <c r="CL37" i="6"/>
  <c r="CI37" i="6"/>
  <c r="CH37" i="6"/>
  <c r="CE37" i="6"/>
  <c r="CD37" i="6"/>
  <c r="CA37" i="6"/>
  <c r="BZ37" i="6"/>
  <c r="BW37" i="6"/>
  <c r="BV37" i="6"/>
  <c r="BS37" i="6"/>
  <c r="BR37" i="6"/>
  <c r="BO37" i="6"/>
  <c r="BN37" i="6"/>
  <c r="BK37" i="6"/>
  <c r="BJ37" i="6"/>
  <c r="BG37" i="6"/>
  <c r="BF37" i="6"/>
  <c r="BC37" i="6"/>
  <c r="BB37" i="6"/>
  <c r="AY37" i="6"/>
  <c r="AX37" i="6"/>
  <c r="AU37" i="6"/>
  <c r="AT37" i="6"/>
  <c r="AQ37" i="6"/>
  <c r="AP37" i="6"/>
  <c r="AM37" i="6"/>
  <c r="AL37" i="6"/>
  <c r="AI37" i="6"/>
  <c r="AH37" i="6"/>
  <c r="AE37" i="6"/>
  <c r="AD37" i="6"/>
  <c r="AA37" i="6"/>
  <c r="Z37" i="6"/>
  <c r="W37" i="6"/>
  <c r="V37" i="6"/>
  <c r="S37" i="6"/>
  <c r="R37" i="6"/>
  <c r="O37" i="6"/>
  <c r="N37" i="6"/>
  <c r="K37" i="6"/>
  <c r="J37" i="6"/>
  <c r="G37" i="6"/>
  <c r="F37" i="6"/>
  <c r="DG36" i="6"/>
  <c r="DF36" i="6"/>
  <c r="DC36" i="6"/>
  <c r="DB36" i="6"/>
  <c r="CY36" i="6"/>
  <c r="CX36" i="6"/>
  <c r="CU36" i="6"/>
  <c r="CT36" i="6"/>
  <c r="CQ36" i="6"/>
  <c r="CP36" i="6"/>
  <c r="CM36" i="6"/>
  <c r="CL36" i="6"/>
  <c r="CI36" i="6"/>
  <c r="CH36" i="6"/>
  <c r="CE36" i="6"/>
  <c r="CD36" i="6"/>
  <c r="CA36" i="6"/>
  <c r="BZ36" i="6"/>
  <c r="BW36" i="6"/>
  <c r="BV36" i="6"/>
  <c r="BS36" i="6"/>
  <c r="BR36" i="6"/>
  <c r="BO36" i="6"/>
  <c r="BN36" i="6"/>
  <c r="BK36" i="6"/>
  <c r="BJ36" i="6"/>
  <c r="BG36" i="6"/>
  <c r="BF36" i="6"/>
  <c r="BC36" i="6"/>
  <c r="BB36" i="6"/>
  <c r="AY36" i="6"/>
  <c r="AX36" i="6"/>
  <c r="AU36" i="6"/>
  <c r="AT36" i="6"/>
  <c r="AQ36" i="6"/>
  <c r="AP36" i="6"/>
  <c r="AM36" i="6"/>
  <c r="AL36" i="6"/>
  <c r="AI36" i="6"/>
  <c r="AH36" i="6"/>
  <c r="AE36" i="6"/>
  <c r="AD36" i="6"/>
  <c r="AA36" i="6"/>
  <c r="Z36" i="6"/>
  <c r="W36" i="6"/>
  <c r="V36" i="6"/>
  <c r="S36" i="6"/>
  <c r="R36" i="6"/>
  <c r="O36" i="6"/>
  <c r="N36" i="6"/>
  <c r="K36" i="6"/>
  <c r="J36" i="6"/>
  <c r="G36" i="6"/>
  <c r="F36" i="6"/>
  <c r="DG35" i="6"/>
  <c r="DF35" i="6"/>
  <c r="DC35" i="6"/>
  <c r="DB35" i="6"/>
  <c r="CY35" i="6"/>
  <c r="CX35" i="6"/>
  <c r="CU35" i="6"/>
  <c r="CT35" i="6"/>
  <c r="CQ35" i="6"/>
  <c r="CP35" i="6"/>
  <c r="CM35" i="6"/>
  <c r="CL35" i="6"/>
  <c r="CI35" i="6"/>
  <c r="CH35" i="6"/>
  <c r="CE35" i="6"/>
  <c r="CD35" i="6"/>
  <c r="CA35" i="6"/>
  <c r="BZ35" i="6"/>
  <c r="BW35" i="6"/>
  <c r="BV35" i="6"/>
  <c r="BS35" i="6"/>
  <c r="BR35" i="6"/>
  <c r="BO35" i="6"/>
  <c r="BN35" i="6"/>
  <c r="BK35" i="6"/>
  <c r="BJ35" i="6"/>
  <c r="BG35" i="6"/>
  <c r="BF35" i="6"/>
  <c r="BC35" i="6"/>
  <c r="BB35" i="6"/>
  <c r="AY35" i="6"/>
  <c r="AX35" i="6"/>
  <c r="AU35" i="6"/>
  <c r="AT35" i="6"/>
  <c r="AQ35" i="6"/>
  <c r="AP35" i="6"/>
  <c r="AM35" i="6"/>
  <c r="AL35" i="6"/>
  <c r="AI35" i="6"/>
  <c r="AH35" i="6"/>
  <c r="AE35" i="6"/>
  <c r="AD35" i="6"/>
  <c r="AA35" i="6"/>
  <c r="Z35" i="6"/>
  <c r="W35" i="6"/>
  <c r="V35" i="6"/>
  <c r="S35" i="6"/>
  <c r="R35" i="6"/>
  <c r="O35" i="6"/>
  <c r="N35" i="6"/>
  <c r="K35" i="6"/>
  <c r="J35" i="6"/>
  <c r="G35" i="6"/>
  <c r="F35" i="6"/>
  <c r="DG34" i="6"/>
  <c r="DF34" i="6"/>
  <c r="DC34" i="6"/>
  <c r="DB34" i="6"/>
  <c r="CY34" i="6"/>
  <c r="CX34" i="6"/>
  <c r="CU34" i="6"/>
  <c r="CT34" i="6"/>
  <c r="CQ34" i="6"/>
  <c r="CP34" i="6"/>
  <c r="CM34" i="6"/>
  <c r="CL34" i="6"/>
  <c r="CI34" i="6"/>
  <c r="CH34" i="6"/>
  <c r="CE34" i="6"/>
  <c r="CD34" i="6"/>
  <c r="CA34" i="6"/>
  <c r="BZ34" i="6"/>
  <c r="BW34" i="6"/>
  <c r="BV34" i="6"/>
  <c r="BS34" i="6"/>
  <c r="BR34" i="6"/>
  <c r="BO34" i="6"/>
  <c r="BN34" i="6"/>
  <c r="BK34" i="6"/>
  <c r="BJ34" i="6"/>
  <c r="BG34" i="6"/>
  <c r="BF34" i="6"/>
  <c r="BC34" i="6"/>
  <c r="BB34" i="6"/>
  <c r="AY34" i="6"/>
  <c r="AX34" i="6"/>
  <c r="AU34" i="6"/>
  <c r="AT34" i="6"/>
  <c r="AQ34" i="6"/>
  <c r="AP34" i="6"/>
  <c r="AM34" i="6"/>
  <c r="AL34" i="6"/>
  <c r="AI34" i="6"/>
  <c r="AH34" i="6"/>
  <c r="AE34" i="6"/>
  <c r="AD34" i="6"/>
  <c r="AA34" i="6"/>
  <c r="Z34" i="6"/>
  <c r="W34" i="6"/>
  <c r="V34" i="6"/>
  <c r="S34" i="6"/>
  <c r="R34" i="6"/>
  <c r="O34" i="6"/>
  <c r="N34" i="6"/>
  <c r="K34" i="6"/>
  <c r="J34" i="6"/>
  <c r="G34" i="6"/>
  <c r="F34" i="6"/>
  <c r="DG33" i="6"/>
  <c r="DF33" i="6"/>
  <c r="DC33" i="6"/>
  <c r="DB33" i="6"/>
  <c r="CY33" i="6"/>
  <c r="CX33" i="6"/>
  <c r="CU33" i="6"/>
  <c r="CT33" i="6"/>
  <c r="CQ33" i="6"/>
  <c r="CP33" i="6"/>
  <c r="CM33" i="6"/>
  <c r="CL33" i="6"/>
  <c r="CI33" i="6"/>
  <c r="CH33" i="6"/>
  <c r="CE33" i="6"/>
  <c r="CD33" i="6"/>
  <c r="CA33" i="6"/>
  <c r="BZ33" i="6"/>
  <c r="BW33" i="6"/>
  <c r="BV33" i="6"/>
  <c r="BS33" i="6"/>
  <c r="BR33" i="6"/>
  <c r="BO33" i="6"/>
  <c r="BN33" i="6"/>
  <c r="BK33" i="6"/>
  <c r="BJ33" i="6"/>
  <c r="BG33" i="6"/>
  <c r="BF33" i="6"/>
  <c r="BC33" i="6"/>
  <c r="BB33" i="6"/>
  <c r="AY33" i="6"/>
  <c r="AX33" i="6"/>
  <c r="AU33" i="6"/>
  <c r="AT33" i="6"/>
  <c r="AQ33" i="6"/>
  <c r="AP33" i="6"/>
  <c r="AM33" i="6"/>
  <c r="AL33" i="6"/>
  <c r="AI33" i="6"/>
  <c r="AH33" i="6"/>
  <c r="AE33" i="6"/>
  <c r="AD33" i="6"/>
  <c r="AA33" i="6"/>
  <c r="Z33" i="6"/>
  <c r="W33" i="6"/>
  <c r="V33" i="6"/>
  <c r="S33" i="6"/>
  <c r="R33" i="6"/>
  <c r="O33" i="6"/>
  <c r="N33" i="6"/>
  <c r="K33" i="6"/>
  <c r="J33" i="6"/>
  <c r="G33" i="6"/>
  <c r="F33" i="6"/>
  <c r="DG32" i="6"/>
  <c r="DF32" i="6"/>
  <c r="DC32" i="6"/>
  <c r="DB32" i="6"/>
  <c r="CY32" i="6"/>
  <c r="CX32" i="6"/>
  <c r="CU32" i="6"/>
  <c r="CT32" i="6"/>
  <c r="CQ32" i="6"/>
  <c r="CP32" i="6"/>
  <c r="CM32" i="6"/>
  <c r="CL32" i="6"/>
  <c r="CI32" i="6"/>
  <c r="CH32" i="6"/>
  <c r="CE32" i="6"/>
  <c r="CD32" i="6"/>
  <c r="CA32" i="6"/>
  <c r="BZ32" i="6"/>
  <c r="BW32" i="6"/>
  <c r="BV32" i="6"/>
  <c r="BS32" i="6"/>
  <c r="BR32" i="6"/>
  <c r="BO32" i="6"/>
  <c r="BN32" i="6"/>
  <c r="BK32" i="6"/>
  <c r="BJ32" i="6"/>
  <c r="BG32" i="6"/>
  <c r="BF32" i="6"/>
  <c r="BC32" i="6"/>
  <c r="BB32" i="6"/>
  <c r="AY32" i="6"/>
  <c r="AX32" i="6"/>
  <c r="AU32" i="6"/>
  <c r="AT32" i="6"/>
  <c r="AQ32" i="6"/>
  <c r="AP32" i="6"/>
  <c r="AM32" i="6"/>
  <c r="AL32" i="6"/>
  <c r="AI32" i="6"/>
  <c r="AH32" i="6"/>
  <c r="AE32" i="6"/>
  <c r="AD32" i="6"/>
  <c r="AA32" i="6"/>
  <c r="Z32" i="6"/>
  <c r="W32" i="6"/>
  <c r="V32" i="6"/>
  <c r="S32" i="6"/>
  <c r="R32" i="6"/>
  <c r="O32" i="6"/>
  <c r="N32" i="6"/>
  <c r="K32" i="6"/>
  <c r="J32" i="6"/>
  <c r="G32" i="6"/>
  <c r="F32" i="6"/>
  <c r="DG31" i="6"/>
  <c r="DF31" i="6"/>
  <c r="DC31" i="6"/>
  <c r="DB31" i="6"/>
  <c r="CY31" i="6"/>
  <c r="CX31" i="6"/>
  <c r="CU31" i="6"/>
  <c r="CT31" i="6"/>
  <c r="CQ31" i="6"/>
  <c r="CP31" i="6"/>
  <c r="CM31" i="6"/>
  <c r="CL31" i="6"/>
  <c r="CI31" i="6"/>
  <c r="CH31" i="6"/>
  <c r="CE31" i="6"/>
  <c r="CD31" i="6"/>
  <c r="CA31" i="6"/>
  <c r="BZ31" i="6"/>
  <c r="BW31" i="6"/>
  <c r="BV31" i="6"/>
  <c r="BS31" i="6"/>
  <c r="BR31" i="6"/>
  <c r="BO31" i="6"/>
  <c r="BN31" i="6"/>
  <c r="BK31" i="6"/>
  <c r="BJ31" i="6"/>
  <c r="BG31" i="6"/>
  <c r="BF31" i="6"/>
  <c r="BC31" i="6"/>
  <c r="BB31" i="6"/>
  <c r="AY31" i="6"/>
  <c r="AX31" i="6"/>
  <c r="AU31" i="6"/>
  <c r="AT31" i="6"/>
  <c r="AQ31" i="6"/>
  <c r="AP31" i="6"/>
  <c r="AM31" i="6"/>
  <c r="AL31" i="6"/>
  <c r="AI31" i="6"/>
  <c r="AH31" i="6"/>
  <c r="AE31" i="6"/>
  <c r="AD31" i="6"/>
  <c r="AA31" i="6"/>
  <c r="Z31" i="6"/>
  <c r="W31" i="6"/>
  <c r="V31" i="6"/>
  <c r="S31" i="6"/>
  <c r="R31" i="6"/>
  <c r="O31" i="6"/>
  <c r="N31" i="6"/>
  <c r="K31" i="6"/>
  <c r="J31" i="6"/>
  <c r="G31" i="6"/>
  <c r="F31" i="6"/>
  <c r="DG30" i="6"/>
  <c r="DF30" i="6"/>
  <c r="DC30" i="6"/>
  <c r="DB30" i="6"/>
  <c r="CY30" i="6"/>
  <c r="CX30" i="6"/>
  <c r="CU30" i="6"/>
  <c r="CT30" i="6"/>
  <c r="CQ30" i="6"/>
  <c r="CP30" i="6"/>
  <c r="CM30" i="6"/>
  <c r="CL30" i="6"/>
  <c r="CI30" i="6"/>
  <c r="CH30" i="6"/>
  <c r="CE30" i="6"/>
  <c r="CD30" i="6"/>
  <c r="CA30" i="6"/>
  <c r="BZ30" i="6"/>
  <c r="BW30" i="6"/>
  <c r="BV30" i="6"/>
  <c r="BS30" i="6"/>
  <c r="BR30" i="6"/>
  <c r="BO30" i="6"/>
  <c r="BN30" i="6"/>
  <c r="BK30" i="6"/>
  <c r="BJ30" i="6"/>
  <c r="BG30" i="6"/>
  <c r="BF30" i="6"/>
  <c r="BC30" i="6"/>
  <c r="BB30" i="6"/>
  <c r="AY30" i="6"/>
  <c r="AX30" i="6"/>
  <c r="AU30" i="6"/>
  <c r="AT30" i="6"/>
  <c r="AQ30" i="6"/>
  <c r="AP30" i="6"/>
  <c r="AM30" i="6"/>
  <c r="AL30" i="6"/>
  <c r="AI30" i="6"/>
  <c r="AH30" i="6"/>
  <c r="AE30" i="6"/>
  <c r="AD30" i="6"/>
  <c r="AA30" i="6"/>
  <c r="Z30" i="6"/>
  <c r="W30" i="6"/>
  <c r="V30" i="6"/>
  <c r="S30" i="6"/>
  <c r="R30" i="6"/>
  <c r="O30" i="6"/>
  <c r="N30" i="6"/>
  <c r="K30" i="6"/>
  <c r="J30" i="6"/>
  <c r="G30" i="6"/>
  <c r="F30" i="6"/>
  <c r="DG29" i="6"/>
  <c r="DF29" i="6"/>
  <c r="DC29" i="6"/>
  <c r="DB29" i="6"/>
  <c r="CY29" i="6"/>
  <c r="CX29" i="6"/>
  <c r="CU29" i="6"/>
  <c r="CT29" i="6"/>
  <c r="CQ29" i="6"/>
  <c r="CP29" i="6"/>
  <c r="CM29" i="6"/>
  <c r="CL29" i="6"/>
  <c r="CI29" i="6"/>
  <c r="CH29" i="6"/>
  <c r="CE29" i="6"/>
  <c r="CD29" i="6"/>
  <c r="CA29" i="6"/>
  <c r="BZ29" i="6"/>
  <c r="BW29" i="6"/>
  <c r="BV29" i="6"/>
  <c r="BS29" i="6"/>
  <c r="BR29" i="6"/>
  <c r="BO29" i="6"/>
  <c r="BN29" i="6"/>
  <c r="BK29" i="6"/>
  <c r="BJ29" i="6"/>
  <c r="BG29" i="6"/>
  <c r="BF29" i="6"/>
  <c r="BC29" i="6"/>
  <c r="BB29" i="6"/>
  <c r="AY29" i="6"/>
  <c r="AX29" i="6"/>
  <c r="AU29" i="6"/>
  <c r="AT29" i="6"/>
  <c r="AQ29" i="6"/>
  <c r="AP29" i="6"/>
  <c r="AM29" i="6"/>
  <c r="AL29" i="6"/>
  <c r="AI29" i="6"/>
  <c r="AH29" i="6"/>
  <c r="AE29" i="6"/>
  <c r="AD29" i="6"/>
  <c r="AA29" i="6"/>
  <c r="Z29" i="6"/>
  <c r="W29" i="6"/>
  <c r="V29" i="6"/>
  <c r="S29" i="6"/>
  <c r="R29" i="6"/>
  <c r="O29" i="6"/>
  <c r="N29" i="6"/>
  <c r="K29" i="6"/>
  <c r="J29" i="6"/>
  <c r="G29" i="6"/>
  <c r="F29" i="6"/>
  <c r="DG28" i="6"/>
  <c r="DF28" i="6"/>
  <c r="DC28" i="6"/>
  <c r="DB28" i="6"/>
  <c r="CY28" i="6"/>
  <c r="CX28" i="6"/>
  <c r="CU28" i="6"/>
  <c r="CT28" i="6"/>
  <c r="CQ28" i="6"/>
  <c r="CP28" i="6"/>
  <c r="CM28" i="6"/>
  <c r="CL28" i="6"/>
  <c r="CI28" i="6"/>
  <c r="CH28" i="6"/>
  <c r="CE28" i="6"/>
  <c r="CD28" i="6"/>
  <c r="CA28" i="6"/>
  <c r="BZ28" i="6"/>
  <c r="BW28" i="6"/>
  <c r="BV28" i="6"/>
  <c r="BS28" i="6"/>
  <c r="BR28" i="6"/>
  <c r="BO28" i="6"/>
  <c r="BN28" i="6"/>
  <c r="BK28" i="6"/>
  <c r="BJ28" i="6"/>
  <c r="BG28" i="6"/>
  <c r="BF28" i="6"/>
  <c r="BC28" i="6"/>
  <c r="BB28" i="6"/>
  <c r="AY28" i="6"/>
  <c r="AX28" i="6"/>
  <c r="AU28" i="6"/>
  <c r="AT28" i="6"/>
  <c r="AQ28" i="6"/>
  <c r="AP28" i="6"/>
  <c r="AM28" i="6"/>
  <c r="AL28" i="6"/>
  <c r="AI28" i="6"/>
  <c r="AH28" i="6"/>
  <c r="AE28" i="6"/>
  <c r="AD28" i="6"/>
  <c r="AA28" i="6"/>
  <c r="Z28" i="6"/>
  <c r="W28" i="6"/>
  <c r="V28" i="6"/>
  <c r="S28" i="6"/>
  <c r="R28" i="6"/>
  <c r="O28" i="6"/>
  <c r="N28" i="6"/>
  <c r="K28" i="6"/>
  <c r="J28" i="6"/>
  <c r="G28" i="6"/>
  <c r="F28" i="6"/>
  <c r="DG27" i="6"/>
  <c r="DF27" i="6"/>
  <c r="DC27" i="6"/>
  <c r="DB27" i="6"/>
  <c r="CY27" i="6"/>
  <c r="CX27" i="6"/>
  <c r="CU27" i="6"/>
  <c r="CT27" i="6"/>
  <c r="CQ27" i="6"/>
  <c r="CP27" i="6"/>
  <c r="CM27" i="6"/>
  <c r="CL27" i="6"/>
  <c r="CI27" i="6"/>
  <c r="CH27" i="6"/>
  <c r="CE27" i="6"/>
  <c r="CD27" i="6"/>
  <c r="CA27" i="6"/>
  <c r="BZ27" i="6"/>
  <c r="BW27" i="6"/>
  <c r="BV27" i="6"/>
  <c r="BS27" i="6"/>
  <c r="BR27" i="6"/>
  <c r="BO27" i="6"/>
  <c r="BN27" i="6"/>
  <c r="BK27" i="6"/>
  <c r="BJ27" i="6"/>
  <c r="BG27" i="6"/>
  <c r="BF27" i="6"/>
  <c r="BC27" i="6"/>
  <c r="BB27" i="6"/>
  <c r="AY27" i="6"/>
  <c r="AX27" i="6"/>
  <c r="AU27" i="6"/>
  <c r="AT27" i="6"/>
  <c r="AQ27" i="6"/>
  <c r="AP27" i="6"/>
  <c r="AM27" i="6"/>
  <c r="AL27" i="6"/>
  <c r="AI27" i="6"/>
  <c r="AH27" i="6"/>
  <c r="AE27" i="6"/>
  <c r="AD27" i="6"/>
  <c r="AA27" i="6"/>
  <c r="Z27" i="6"/>
  <c r="W27" i="6"/>
  <c r="V27" i="6"/>
  <c r="S27" i="6"/>
  <c r="R27" i="6"/>
  <c r="O27" i="6"/>
  <c r="N27" i="6"/>
  <c r="K27" i="6"/>
  <c r="J27" i="6"/>
  <c r="G27" i="6"/>
  <c r="F27" i="6"/>
  <c r="DG26" i="6"/>
  <c r="DF26" i="6"/>
  <c r="DC26" i="6"/>
  <c r="DB26" i="6"/>
  <c r="CY26" i="6"/>
  <c r="CX26" i="6"/>
  <c r="CU26" i="6"/>
  <c r="CT26" i="6"/>
  <c r="CQ26" i="6"/>
  <c r="CP26" i="6"/>
  <c r="CM26" i="6"/>
  <c r="CL26" i="6"/>
  <c r="CI26" i="6"/>
  <c r="CH26" i="6"/>
  <c r="CE26" i="6"/>
  <c r="CD26" i="6"/>
  <c r="CA26" i="6"/>
  <c r="BZ26" i="6"/>
  <c r="BW26" i="6"/>
  <c r="BV26" i="6"/>
  <c r="BS26" i="6"/>
  <c r="BR26" i="6"/>
  <c r="BO26" i="6"/>
  <c r="BN26" i="6"/>
  <c r="BK26" i="6"/>
  <c r="BJ26" i="6"/>
  <c r="BG26" i="6"/>
  <c r="BF26" i="6"/>
  <c r="BC26" i="6"/>
  <c r="BB26" i="6"/>
  <c r="AY26" i="6"/>
  <c r="AX26" i="6"/>
  <c r="AU26" i="6"/>
  <c r="AT26" i="6"/>
  <c r="AQ26" i="6"/>
  <c r="AP26" i="6"/>
  <c r="AM26" i="6"/>
  <c r="AL26" i="6"/>
  <c r="AI26" i="6"/>
  <c r="AH26" i="6"/>
  <c r="AE26" i="6"/>
  <c r="AD26" i="6"/>
  <c r="AA26" i="6"/>
  <c r="Z26" i="6"/>
  <c r="W26" i="6"/>
  <c r="V26" i="6"/>
  <c r="S26" i="6"/>
  <c r="R26" i="6"/>
  <c r="O26" i="6"/>
  <c r="N26" i="6"/>
  <c r="K26" i="6"/>
  <c r="J26" i="6"/>
  <c r="G26" i="6"/>
  <c r="F26" i="6"/>
  <c r="DG25" i="6"/>
  <c r="DF25" i="6"/>
  <c r="DC25" i="6"/>
  <c r="DB25" i="6"/>
  <c r="CY25" i="6"/>
  <c r="CX25" i="6"/>
  <c r="CU25" i="6"/>
  <c r="CT25" i="6"/>
  <c r="CQ25" i="6"/>
  <c r="CP25" i="6"/>
  <c r="CM25" i="6"/>
  <c r="CL25" i="6"/>
  <c r="CI25" i="6"/>
  <c r="CH25" i="6"/>
  <c r="CE25" i="6"/>
  <c r="CD25" i="6"/>
  <c r="CA25" i="6"/>
  <c r="BZ25" i="6"/>
  <c r="BW25" i="6"/>
  <c r="BV25" i="6"/>
  <c r="BS25" i="6"/>
  <c r="BR25" i="6"/>
  <c r="BO25" i="6"/>
  <c r="BN25" i="6"/>
  <c r="BK25" i="6"/>
  <c r="BJ25" i="6"/>
  <c r="BG25" i="6"/>
  <c r="BF25" i="6"/>
  <c r="BC25" i="6"/>
  <c r="BB25" i="6"/>
  <c r="AY25" i="6"/>
  <c r="AX25" i="6"/>
  <c r="AU25" i="6"/>
  <c r="AT25" i="6"/>
  <c r="AQ25" i="6"/>
  <c r="AP25" i="6"/>
  <c r="AM25" i="6"/>
  <c r="AL25" i="6"/>
  <c r="AI25" i="6"/>
  <c r="AH25" i="6"/>
  <c r="AE25" i="6"/>
  <c r="AD25" i="6"/>
  <c r="AA25" i="6"/>
  <c r="Z25" i="6"/>
  <c r="W25" i="6"/>
  <c r="V25" i="6"/>
  <c r="S25" i="6"/>
  <c r="R25" i="6"/>
  <c r="O25" i="6"/>
  <c r="N25" i="6"/>
  <c r="K25" i="6"/>
  <c r="J25" i="6"/>
  <c r="G25" i="6"/>
  <c r="F25" i="6"/>
  <c r="DG24" i="6"/>
  <c r="DF24" i="6"/>
  <c r="DC24" i="6"/>
  <c r="DB24" i="6"/>
  <c r="CY24" i="6"/>
  <c r="CX24" i="6"/>
  <c r="CU24" i="6"/>
  <c r="CT24" i="6"/>
  <c r="CQ24" i="6"/>
  <c r="CP24" i="6"/>
  <c r="CM24" i="6"/>
  <c r="CL24" i="6"/>
  <c r="CI24" i="6"/>
  <c r="CH24" i="6"/>
  <c r="CE24" i="6"/>
  <c r="CD24" i="6"/>
  <c r="CA24" i="6"/>
  <c r="BZ24" i="6"/>
  <c r="BW24" i="6"/>
  <c r="BV24" i="6"/>
  <c r="BS24" i="6"/>
  <c r="BR24" i="6"/>
  <c r="BO24" i="6"/>
  <c r="BN24" i="6"/>
  <c r="BK24" i="6"/>
  <c r="BJ24" i="6"/>
  <c r="BG24" i="6"/>
  <c r="BF24" i="6"/>
  <c r="BC24" i="6"/>
  <c r="BB24" i="6"/>
  <c r="AY24" i="6"/>
  <c r="AX24" i="6"/>
  <c r="AU24" i="6"/>
  <c r="AT24" i="6"/>
  <c r="AQ24" i="6"/>
  <c r="AP24" i="6"/>
  <c r="AM24" i="6"/>
  <c r="AL24" i="6"/>
  <c r="AI24" i="6"/>
  <c r="AH24" i="6"/>
  <c r="AE24" i="6"/>
  <c r="AD24" i="6"/>
  <c r="AA24" i="6"/>
  <c r="Z24" i="6"/>
  <c r="W24" i="6"/>
  <c r="V24" i="6"/>
  <c r="S24" i="6"/>
  <c r="R24" i="6"/>
  <c r="O24" i="6"/>
  <c r="N24" i="6"/>
  <c r="K24" i="6"/>
  <c r="J24" i="6"/>
  <c r="G24" i="6"/>
  <c r="F24" i="6"/>
  <c r="DG23" i="6"/>
  <c r="DF23" i="6"/>
  <c r="DC23" i="6"/>
  <c r="DB23" i="6"/>
  <c r="CY23" i="6"/>
  <c r="CX23" i="6"/>
  <c r="CU23" i="6"/>
  <c r="CT23" i="6"/>
  <c r="CQ23" i="6"/>
  <c r="CP23" i="6"/>
  <c r="CM23" i="6"/>
  <c r="CL23" i="6"/>
  <c r="CI23" i="6"/>
  <c r="CH23" i="6"/>
  <c r="CE23" i="6"/>
  <c r="CD23" i="6"/>
  <c r="CA23" i="6"/>
  <c r="BZ23" i="6"/>
  <c r="BW23" i="6"/>
  <c r="BV23" i="6"/>
  <c r="BS23" i="6"/>
  <c r="BR23" i="6"/>
  <c r="BO23" i="6"/>
  <c r="BN23" i="6"/>
  <c r="BK23" i="6"/>
  <c r="BJ23" i="6"/>
  <c r="BG23" i="6"/>
  <c r="BF23" i="6"/>
  <c r="BC23" i="6"/>
  <c r="BB23" i="6"/>
  <c r="AY23" i="6"/>
  <c r="AX23" i="6"/>
  <c r="AU23" i="6"/>
  <c r="AT23" i="6"/>
  <c r="AQ23" i="6"/>
  <c r="AP23" i="6"/>
  <c r="AM23" i="6"/>
  <c r="AL23" i="6"/>
  <c r="AI23" i="6"/>
  <c r="AH23" i="6"/>
  <c r="AE23" i="6"/>
  <c r="AD23" i="6"/>
  <c r="AA23" i="6"/>
  <c r="Z23" i="6"/>
  <c r="W23" i="6"/>
  <c r="V23" i="6"/>
  <c r="S23" i="6"/>
  <c r="R23" i="6"/>
  <c r="O23" i="6"/>
  <c r="N23" i="6"/>
  <c r="K23" i="6"/>
  <c r="J23" i="6"/>
  <c r="G23" i="6"/>
  <c r="F23" i="6"/>
  <c r="DG22" i="6"/>
  <c r="DF22" i="6"/>
  <c r="DC22" i="6"/>
  <c r="DB22" i="6"/>
  <c r="CY22" i="6"/>
  <c r="CX22" i="6"/>
  <c r="CU22" i="6"/>
  <c r="CT22" i="6"/>
  <c r="CQ22" i="6"/>
  <c r="CP22" i="6"/>
  <c r="CM22" i="6"/>
  <c r="CL22" i="6"/>
  <c r="CI22" i="6"/>
  <c r="CH22" i="6"/>
  <c r="CE22" i="6"/>
  <c r="CD22" i="6"/>
  <c r="CA22" i="6"/>
  <c r="BZ22" i="6"/>
  <c r="BW22" i="6"/>
  <c r="BV22" i="6"/>
  <c r="BS22" i="6"/>
  <c r="BR22" i="6"/>
  <c r="BO22" i="6"/>
  <c r="BN22" i="6"/>
  <c r="BK22" i="6"/>
  <c r="BJ22" i="6"/>
  <c r="BG22" i="6"/>
  <c r="BF22" i="6"/>
  <c r="BC22" i="6"/>
  <c r="BB22" i="6"/>
  <c r="AY22" i="6"/>
  <c r="AX22" i="6"/>
  <c r="AU22" i="6"/>
  <c r="AT22" i="6"/>
  <c r="AQ22" i="6"/>
  <c r="AP22" i="6"/>
  <c r="AM22" i="6"/>
  <c r="AL22" i="6"/>
  <c r="AI22" i="6"/>
  <c r="AH22" i="6"/>
  <c r="AE22" i="6"/>
  <c r="AD22" i="6"/>
  <c r="AA22" i="6"/>
  <c r="Z22" i="6"/>
  <c r="W22" i="6"/>
  <c r="V22" i="6"/>
  <c r="S22" i="6"/>
  <c r="R22" i="6"/>
  <c r="O22" i="6"/>
  <c r="N22" i="6"/>
  <c r="K22" i="6"/>
  <c r="J22" i="6"/>
  <c r="G22" i="6"/>
  <c r="F22" i="6"/>
  <c r="DG21" i="6"/>
  <c r="DF21" i="6"/>
  <c r="DC21" i="6"/>
  <c r="DB21" i="6"/>
  <c r="CY21" i="6"/>
  <c r="CX21" i="6"/>
  <c r="CU21" i="6"/>
  <c r="CT21" i="6"/>
  <c r="CQ21" i="6"/>
  <c r="CP21" i="6"/>
  <c r="CM21" i="6"/>
  <c r="CL21" i="6"/>
  <c r="CI21" i="6"/>
  <c r="CH21" i="6"/>
  <c r="CE21" i="6"/>
  <c r="CD21" i="6"/>
  <c r="CA21" i="6"/>
  <c r="BZ21" i="6"/>
  <c r="BW21" i="6"/>
  <c r="BV21" i="6"/>
  <c r="BS21" i="6"/>
  <c r="BR21" i="6"/>
  <c r="BO21" i="6"/>
  <c r="BN21" i="6"/>
  <c r="BK21" i="6"/>
  <c r="BJ21" i="6"/>
  <c r="BG21" i="6"/>
  <c r="BF21" i="6"/>
  <c r="BC21" i="6"/>
  <c r="BB21" i="6"/>
  <c r="AY21" i="6"/>
  <c r="AX21" i="6"/>
  <c r="AU21" i="6"/>
  <c r="AT21" i="6"/>
  <c r="AQ21" i="6"/>
  <c r="AP21" i="6"/>
  <c r="AM21" i="6"/>
  <c r="AL21" i="6"/>
  <c r="AI21" i="6"/>
  <c r="AH21" i="6"/>
  <c r="AE21" i="6"/>
  <c r="AD21" i="6"/>
  <c r="AA21" i="6"/>
  <c r="Z21" i="6"/>
  <c r="W21" i="6"/>
  <c r="V21" i="6"/>
  <c r="S21" i="6"/>
  <c r="R21" i="6"/>
  <c r="O21" i="6"/>
  <c r="N21" i="6"/>
  <c r="K21" i="6"/>
  <c r="J21" i="6"/>
  <c r="G21" i="6"/>
  <c r="F21" i="6"/>
  <c r="DG20" i="6"/>
  <c r="DF20" i="6"/>
  <c r="DC20" i="6"/>
  <c r="DB20" i="6"/>
  <c r="CY20" i="6"/>
  <c r="CX20" i="6"/>
  <c r="CU20" i="6"/>
  <c r="CT20" i="6"/>
  <c r="CQ20" i="6"/>
  <c r="CP20" i="6"/>
  <c r="CM20" i="6"/>
  <c r="CL20" i="6"/>
  <c r="CI20" i="6"/>
  <c r="CH20" i="6"/>
  <c r="CE20" i="6"/>
  <c r="CD20" i="6"/>
  <c r="CA20" i="6"/>
  <c r="BZ20" i="6"/>
  <c r="BW20" i="6"/>
  <c r="BV20" i="6"/>
  <c r="BS20" i="6"/>
  <c r="BR20" i="6"/>
  <c r="BO20" i="6"/>
  <c r="BN20" i="6"/>
  <c r="BK20" i="6"/>
  <c r="BJ20" i="6"/>
  <c r="BG20" i="6"/>
  <c r="BF20" i="6"/>
  <c r="BC20" i="6"/>
  <c r="BB20" i="6"/>
  <c r="AY20" i="6"/>
  <c r="AX20" i="6"/>
  <c r="AU20" i="6"/>
  <c r="AT20" i="6"/>
  <c r="AQ20" i="6"/>
  <c r="AP20" i="6"/>
  <c r="AM20" i="6"/>
  <c r="AL20" i="6"/>
  <c r="AI20" i="6"/>
  <c r="AH20" i="6"/>
  <c r="AE20" i="6"/>
  <c r="AD20" i="6"/>
  <c r="AA20" i="6"/>
  <c r="Z20" i="6"/>
  <c r="W20" i="6"/>
  <c r="V20" i="6"/>
  <c r="S20" i="6"/>
  <c r="R20" i="6"/>
  <c r="O20" i="6"/>
  <c r="N20" i="6"/>
  <c r="K20" i="6"/>
  <c r="J20" i="6"/>
  <c r="G20" i="6"/>
  <c r="F20" i="6"/>
  <c r="DG19" i="6"/>
  <c r="DF19" i="6"/>
  <c r="DC19" i="6"/>
  <c r="DB19" i="6"/>
  <c r="CY19" i="6"/>
  <c r="CX19" i="6"/>
  <c r="CU19" i="6"/>
  <c r="CT19" i="6"/>
  <c r="CQ19" i="6"/>
  <c r="CP19" i="6"/>
  <c r="CM19" i="6"/>
  <c r="CL19" i="6"/>
  <c r="CI19" i="6"/>
  <c r="CH19" i="6"/>
  <c r="CE19" i="6"/>
  <c r="CD19" i="6"/>
  <c r="CA19" i="6"/>
  <c r="BZ19" i="6"/>
  <c r="BW19" i="6"/>
  <c r="BV19" i="6"/>
  <c r="BS19" i="6"/>
  <c r="BR19" i="6"/>
  <c r="BO19" i="6"/>
  <c r="BN19" i="6"/>
  <c r="BK19" i="6"/>
  <c r="BJ19" i="6"/>
  <c r="BG19" i="6"/>
  <c r="BF19" i="6"/>
  <c r="BC19" i="6"/>
  <c r="BB19" i="6"/>
  <c r="AY19" i="6"/>
  <c r="AX19" i="6"/>
  <c r="AU19" i="6"/>
  <c r="AT19" i="6"/>
  <c r="AQ19" i="6"/>
  <c r="AP19" i="6"/>
  <c r="AM19" i="6"/>
  <c r="AL19" i="6"/>
  <c r="AI19" i="6"/>
  <c r="AH19" i="6"/>
  <c r="AE19" i="6"/>
  <c r="AD19" i="6"/>
  <c r="AA19" i="6"/>
  <c r="Z19" i="6"/>
  <c r="W19" i="6"/>
  <c r="V19" i="6"/>
  <c r="S19" i="6"/>
  <c r="R19" i="6"/>
  <c r="O19" i="6"/>
  <c r="N19" i="6"/>
  <c r="K19" i="6"/>
  <c r="J19" i="6"/>
  <c r="G19" i="6"/>
  <c r="F19" i="6"/>
  <c r="DG18" i="6"/>
  <c r="DF18" i="6"/>
  <c r="DC18" i="6"/>
  <c r="DB18" i="6"/>
  <c r="CY18" i="6"/>
  <c r="CX18" i="6"/>
  <c r="CU18" i="6"/>
  <c r="CT18" i="6"/>
  <c r="CQ18" i="6"/>
  <c r="CP18" i="6"/>
  <c r="CM18" i="6"/>
  <c r="CL18" i="6"/>
  <c r="CI18" i="6"/>
  <c r="CH18" i="6"/>
  <c r="CE18" i="6"/>
  <c r="CD18" i="6"/>
  <c r="CA18" i="6"/>
  <c r="BZ18" i="6"/>
  <c r="BW18" i="6"/>
  <c r="BV18" i="6"/>
  <c r="BS18" i="6"/>
  <c r="BR18" i="6"/>
  <c r="BO18" i="6"/>
  <c r="BN18" i="6"/>
  <c r="BK18" i="6"/>
  <c r="BJ18" i="6"/>
  <c r="BG18" i="6"/>
  <c r="BF18" i="6"/>
  <c r="BC18" i="6"/>
  <c r="BB18" i="6"/>
  <c r="AY18" i="6"/>
  <c r="AX18" i="6"/>
  <c r="AU18" i="6"/>
  <c r="AT18" i="6"/>
  <c r="AQ18" i="6"/>
  <c r="AP18" i="6"/>
  <c r="AM18" i="6"/>
  <c r="AL18" i="6"/>
  <c r="AI18" i="6"/>
  <c r="AH18" i="6"/>
  <c r="AE18" i="6"/>
  <c r="AD18" i="6"/>
  <c r="AA18" i="6"/>
  <c r="Z18" i="6"/>
  <c r="W18" i="6"/>
  <c r="V18" i="6"/>
  <c r="S18" i="6"/>
  <c r="R18" i="6"/>
  <c r="O18" i="6"/>
  <c r="N18" i="6"/>
  <c r="K18" i="6"/>
  <c r="J18" i="6"/>
  <c r="G18" i="6"/>
  <c r="F18" i="6"/>
  <c r="DG17" i="6"/>
  <c r="DF17" i="6"/>
  <c r="DC17" i="6"/>
  <c r="DB17" i="6"/>
  <c r="CY17" i="6"/>
  <c r="CX17" i="6"/>
  <c r="CU17" i="6"/>
  <c r="CT17" i="6"/>
  <c r="CQ17" i="6"/>
  <c r="CP17" i="6"/>
  <c r="CM17" i="6"/>
  <c r="CL17" i="6"/>
  <c r="CI17" i="6"/>
  <c r="CH17" i="6"/>
  <c r="CE17" i="6"/>
  <c r="CD17" i="6"/>
  <c r="CA17" i="6"/>
  <c r="BZ17" i="6"/>
  <c r="BW17" i="6"/>
  <c r="BV17" i="6"/>
  <c r="BS17" i="6"/>
  <c r="BR17" i="6"/>
  <c r="BO17" i="6"/>
  <c r="BN17" i="6"/>
  <c r="BK17" i="6"/>
  <c r="BJ17" i="6"/>
  <c r="BG17" i="6"/>
  <c r="BF17" i="6"/>
  <c r="BC17" i="6"/>
  <c r="BB17" i="6"/>
  <c r="AY17" i="6"/>
  <c r="AX17" i="6"/>
  <c r="AU17" i="6"/>
  <c r="AT17" i="6"/>
  <c r="AQ17" i="6"/>
  <c r="AP17" i="6"/>
  <c r="AM17" i="6"/>
  <c r="AL17" i="6"/>
  <c r="AI17" i="6"/>
  <c r="AH17" i="6"/>
  <c r="AE17" i="6"/>
  <c r="AD17" i="6"/>
  <c r="AA17" i="6"/>
  <c r="Z17" i="6"/>
  <c r="W17" i="6"/>
  <c r="V17" i="6"/>
  <c r="S17" i="6"/>
  <c r="R17" i="6"/>
  <c r="O17" i="6"/>
  <c r="N17" i="6"/>
  <c r="K17" i="6"/>
  <c r="J17" i="6"/>
  <c r="G17" i="6"/>
  <c r="F17" i="6"/>
  <c r="DG16" i="6"/>
  <c r="DF16" i="6"/>
  <c r="DC16" i="6"/>
  <c r="DB16" i="6"/>
  <c r="CY16" i="6"/>
  <c r="CX16" i="6"/>
  <c r="CU16" i="6"/>
  <c r="CT16" i="6"/>
  <c r="CQ16" i="6"/>
  <c r="CP16" i="6"/>
  <c r="CM16" i="6"/>
  <c r="CL16" i="6"/>
  <c r="CI16" i="6"/>
  <c r="CH16" i="6"/>
  <c r="CE16" i="6"/>
  <c r="CD16" i="6"/>
  <c r="CA16" i="6"/>
  <c r="BZ16" i="6"/>
  <c r="BW16" i="6"/>
  <c r="BV16" i="6"/>
  <c r="BS16" i="6"/>
  <c r="BR16" i="6"/>
  <c r="BO16" i="6"/>
  <c r="BN16" i="6"/>
  <c r="BK16" i="6"/>
  <c r="BJ16" i="6"/>
  <c r="BG16" i="6"/>
  <c r="BF16" i="6"/>
  <c r="BC16" i="6"/>
  <c r="BB16" i="6"/>
  <c r="AY16" i="6"/>
  <c r="AX16" i="6"/>
  <c r="AU16" i="6"/>
  <c r="AT16" i="6"/>
  <c r="AQ16" i="6"/>
  <c r="AP16" i="6"/>
  <c r="AM16" i="6"/>
  <c r="AL16" i="6"/>
  <c r="AI16" i="6"/>
  <c r="AH16" i="6"/>
  <c r="AE16" i="6"/>
  <c r="AD16" i="6"/>
  <c r="AA16" i="6"/>
  <c r="Z16" i="6"/>
  <c r="W16" i="6"/>
  <c r="V16" i="6"/>
  <c r="S16" i="6"/>
  <c r="R16" i="6"/>
  <c r="O16" i="6"/>
  <c r="N16" i="6"/>
  <c r="K16" i="6"/>
  <c r="J16" i="6"/>
  <c r="G16" i="6"/>
  <c r="F16" i="6"/>
  <c r="DG15" i="6"/>
  <c r="DF15" i="6"/>
  <c r="DC15" i="6"/>
  <c r="DB15" i="6"/>
  <c r="CY15" i="6"/>
  <c r="CX15" i="6"/>
  <c r="CU15" i="6"/>
  <c r="CT15" i="6"/>
  <c r="CQ15" i="6"/>
  <c r="CP15" i="6"/>
  <c r="CM15" i="6"/>
  <c r="CL15" i="6"/>
  <c r="CI15" i="6"/>
  <c r="CH15" i="6"/>
  <c r="CE15" i="6"/>
  <c r="CD15" i="6"/>
  <c r="CA15" i="6"/>
  <c r="BZ15" i="6"/>
  <c r="BW15" i="6"/>
  <c r="BV15" i="6"/>
  <c r="BS15" i="6"/>
  <c r="BR15" i="6"/>
  <c r="BO15" i="6"/>
  <c r="BN15" i="6"/>
  <c r="BK15" i="6"/>
  <c r="BJ15" i="6"/>
  <c r="BG15" i="6"/>
  <c r="BF15" i="6"/>
  <c r="BC15" i="6"/>
  <c r="BB15" i="6"/>
  <c r="AY15" i="6"/>
  <c r="AX15" i="6"/>
  <c r="AU15" i="6"/>
  <c r="AT15" i="6"/>
  <c r="AQ15" i="6"/>
  <c r="AP15" i="6"/>
  <c r="AM15" i="6"/>
  <c r="AL15" i="6"/>
  <c r="AI15" i="6"/>
  <c r="AH15" i="6"/>
  <c r="AE15" i="6"/>
  <c r="AD15" i="6"/>
  <c r="AA15" i="6"/>
  <c r="Z15" i="6"/>
  <c r="W15" i="6"/>
  <c r="V15" i="6"/>
  <c r="S15" i="6"/>
  <c r="R15" i="6"/>
  <c r="O15" i="6"/>
  <c r="N15" i="6"/>
  <c r="K15" i="6"/>
  <c r="J15" i="6"/>
  <c r="G15" i="6"/>
  <c r="F15" i="6"/>
  <c r="DG14" i="6"/>
  <c r="DF14" i="6"/>
  <c r="DC14" i="6"/>
  <c r="DB14" i="6"/>
  <c r="CY14" i="6"/>
  <c r="CX14" i="6"/>
  <c r="CU14" i="6"/>
  <c r="CT14" i="6"/>
  <c r="CQ14" i="6"/>
  <c r="CP14" i="6"/>
  <c r="CM14" i="6"/>
  <c r="CL14" i="6"/>
  <c r="CI14" i="6"/>
  <c r="CH14" i="6"/>
  <c r="CE14" i="6"/>
  <c r="CD14" i="6"/>
  <c r="CA14" i="6"/>
  <c r="BZ14" i="6"/>
  <c r="BW14" i="6"/>
  <c r="BV14" i="6"/>
  <c r="BS14" i="6"/>
  <c r="BR14" i="6"/>
  <c r="BO14" i="6"/>
  <c r="BN14" i="6"/>
  <c r="BK14" i="6"/>
  <c r="BJ14" i="6"/>
  <c r="BG14" i="6"/>
  <c r="BF14" i="6"/>
  <c r="BC14" i="6"/>
  <c r="BB14" i="6"/>
  <c r="AY14" i="6"/>
  <c r="AX14" i="6"/>
  <c r="AU14" i="6"/>
  <c r="AT14" i="6"/>
  <c r="AQ14" i="6"/>
  <c r="AP14" i="6"/>
  <c r="AM14" i="6"/>
  <c r="AL14" i="6"/>
  <c r="AI14" i="6"/>
  <c r="AH14" i="6"/>
  <c r="AE14" i="6"/>
  <c r="AD14" i="6"/>
  <c r="AA14" i="6"/>
  <c r="Z14" i="6"/>
  <c r="W14" i="6"/>
  <c r="V14" i="6"/>
  <c r="S14" i="6"/>
  <c r="R14" i="6"/>
  <c r="O14" i="6"/>
  <c r="N14" i="6"/>
  <c r="K14" i="6"/>
  <c r="J14" i="6"/>
  <c r="G14" i="6"/>
  <c r="F14" i="6"/>
  <c r="DG13" i="6"/>
  <c r="DF13" i="6"/>
  <c r="DC13" i="6"/>
  <c r="DB13" i="6"/>
  <c r="CY13" i="6"/>
  <c r="CX13" i="6"/>
  <c r="CU13" i="6"/>
  <c r="CT13" i="6"/>
  <c r="CQ13" i="6"/>
  <c r="CP13" i="6"/>
  <c r="CM13" i="6"/>
  <c r="CL13" i="6"/>
  <c r="CI13" i="6"/>
  <c r="CH13" i="6"/>
  <c r="CE13" i="6"/>
  <c r="CD13" i="6"/>
  <c r="CA13" i="6"/>
  <c r="BZ13" i="6"/>
  <c r="BW13" i="6"/>
  <c r="BV13" i="6"/>
  <c r="BS13" i="6"/>
  <c r="BR13" i="6"/>
  <c r="BO13" i="6"/>
  <c r="BN13" i="6"/>
  <c r="BK13" i="6"/>
  <c r="BJ13" i="6"/>
  <c r="BG13" i="6"/>
  <c r="BF13" i="6"/>
  <c r="BC13" i="6"/>
  <c r="BB13" i="6"/>
  <c r="AY13" i="6"/>
  <c r="AX13" i="6"/>
  <c r="AU13" i="6"/>
  <c r="AT13" i="6"/>
  <c r="AQ13" i="6"/>
  <c r="AP13" i="6"/>
  <c r="AM13" i="6"/>
  <c r="AL13" i="6"/>
  <c r="AI13" i="6"/>
  <c r="AH13" i="6"/>
  <c r="AE13" i="6"/>
  <c r="AD13" i="6"/>
  <c r="AA13" i="6"/>
  <c r="Z13" i="6"/>
  <c r="W13" i="6"/>
  <c r="V13" i="6"/>
  <c r="S13" i="6"/>
  <c r="R13" i="6"/>
  <c r="O13" i="6"/>
  <c r="N13" i="6"/>
  <c r="K13" i="6"/>
  <c r="J13" i="6"/>
  <c r="G13" i="6"/>
  <c r="F13" i="6"/>
  <c r="DG12" i="6"/>
  <c r="DF12" i="6"/>
  <c r="DC12" i="6"/>
  <c r="DB12" i="6"/>
  <c r="CY12" i="6"/>
  <c r="CX12" i="6"/>
  <c r="CU12" i="6"/>
  <c r="CT12" i="6"/>
  <c r="CQ12" i="6"/>
  <c r="CP12" i="6"/>
  <c r="CM12" i="6"/>
  <c r="CL12" i="6"/>
  <c r="CI12" i="6"/>
  <c r="CH12" i="6"/>
  <c r="CE12" i="6"/>
  <c r="CD12" i="6"/>
  <c r="CA12" i="6"/>
  <c r="BZ12" i="6"/>
  <c r="BW12" i="6"/>
  <c r="BV12" i="6"/>
  <c r="BS12" i="6"/>
  <c r="BR12" i="6"/>
  <c r="BO12" i="6"/>
  <c r="BN12" i="6"/>
  <c r="BK12" i="6"/>
  <c r="BJ12" i="6"/>
  <c r="BG12" i="6"/>
  <c r="BF12" i="6"/>
  <c r="BC12" i="6"/>
  <c r="BB12" i="6"/>
  <c r="AY12" i="6"/>
  <c r="AX12" i="6"/>
  <c r="AU12" i="6"/>
  <c r="AT12" i="6"/>
  <c r="AQ12" i="6"/>
  <c r="AP12" i="6"/>
  <c r="AM12" i="6"/>
  <c r="AL12" i="6"/>
  <c r="AI12" i="6"/>
  <c r="AH12" i="6"/>
  <c r="AE12" i="6"/>
  <c r="AD12" i="6"/>
  <c r="AA12" i="6"/>
  <c r="Z12" i="6"/>
  <c r="W12" i="6"/>
  <c r="V12" i="6"/>
  <c r="S12" i="6"/>
  <c r="R12" i="6"/>
  <c r="O12" i="6"/>
  <c r="N12" i="6"/>
  <c r="K12" i="6"/>
  <c r="J12" i="6"/>
  <c r="G12" i="6"/>
  <c r="F12" i="6"/>
  <c r="DG11" i="6"/>
  <c r="DF11" i="6"/>
  <c r="DC11" i="6"/>
  <c r="DB11" i="6"/>
  <c r="CY11" i="6"/>
  <c r="CX11" i="6"/>
  <c r="CU11" i="6"/>
  <c r="CT11" i="6"/>
  <c r="CQ11" i="6"/>
  <c r="CP11" i="6"/>
  <c r="CM11" i="6"/>
  <c r="CL11" i="6"/>
  <c r="CI11" i="6"/>
  <c r="CH11" i="6"/>
  <c r="CE11" i="6"/>
  <c r="CD11" i="6"/>
  <c r="CA11" i="6"/>
  <c r="BZ11" i="6"/>
  <c r="BW11" i="6"/>
  <c r="BV11" i="6"/>
  <c r="BS11" i="6"/>
  <c r="BR11" i="6"/>
  <c r="BO11" i="6"/>
  <c r="BN11" i="6"/>
  <c r="BK11" i="6"/>
  <c r="BJ11" i="6"/>
  <c r="BG11" i="6"/>
  <c r="BF11" i="6"/>
  <c r="BC11" i="6"/>
  <c r="BB11" i="6"/>
  <c r="AY11" i="6"/>
  <c r="AX11" i="6"/>
  <c r="AU11" i="6"/>
  <c r="AT11" i="6"/>
  <c r="AQ11" i="6"/>
  <c r="AP11" i="6"/>
  <c r="AM11" i="6"/>
  <c r="AL11" i="6"/>
  <c r="AI11" i="6"/>
  <c r="AH11" i="6"/>
  <c r="AE11" i="6"/>
  <c r="AD11" i="6"/>
  <c r="AA11" i="6"/>
  <c r="Z11" i="6"/>
  <c r="W11" i="6"/>
  <c r="V11" i="6"/>
  <c r="S11" i="6"/>
  <c r="R11" i="6"/>
  <c r="O11" i="6"/>
  <c r="N11" i="6"/>
  <c r="K11" i="6"/>
  <c r="J11" i="6"/>
  <c r="G11" i="6"/>
  <c r="F11" i="6"/>
  <c r="DG10" i="6"/>
  <c r="DF10" i="6"/>
  <c r="DC10" i="6"/>
  <c r="DB10" i="6"/>
  <c r="CY10" i="6"/>
  <c r="CX10" i="6"/>
  <c r="CU10" i="6"/>
  <c r="CT10" i="6"/>
  <c r="CQ10" i="6"/>
  <c r="CP10" i="6"/>
  <c r="CM10" i="6"/>
  <c r="CL10" i="6"/>
  <c r="CI10" i="6"/>
  <c r="CH10" i="6"/>
  <c r="CE10" i="6"/>
  <c r="CD10" i="6"/>
  <c r="CA10" i="6"/>
  <c r="BZ10" i="6"/>
  <c r="BW10" i="6"/>
  <c r="BV10" i="6"/>
  <c r="BS10" i="6"/>
  <c r="BR10" i="6"/>
  <c r="BO10" i="6"/>
  <c r="BN10" i="6"/>
  <c r="BK10" i="6"/>
  <c r="BJ10" i="6"/>
  <c r="BG10" i="6"/>
  <c r="BF10" i="6"/>
  <c r="BC10" i="6"/>
  <c r="BB10" i="6"/>
  <c r="AY10" i="6"/>
  <c r="AX10" i="6"/>
  <c r="AU10" i="6"/>
  <c r="AT10" i="6"/>
  <c r="AQ10" i="6"/>
  <c r="AP10" i="6"/>
  <c r="AM10" i="6"/>
  <c r="AL10" i="6"/>
  <c r="AI10" i="6"/>
  <c r="AH10" i="6"/>
  <c r="AE10" i="6"/>
  <c r="AD10" i="6"/>
  <c r="AA10" i="6"/>
  <c r="Z10" i="6"/>
  <c r="W10" i="6"/>
  <c r="V10" i="6"/>
  <c r="S10" i="6"/>
  <c r="R10" i="6"/>
  <c r="O10" i="6"/>
  <c r="N10" i="6"/>
  <c r="K10" i="6"/>
  <c r="J10" i="6"/>
  <c r="G10" i="6"/>
  <c r="F10" i="6"/>
  <c r="DG9" i="6"/>
  <c r="DF9" i="6"/>
  <c r="DC9" i="6"/>
  <c r="DB9" i="6"/>
  <c r="CY9" i="6"/>
  <c r="CX9" i="6"/>
  <c r="CU9" i="6"/>
  <c r="CT9" i="6"/>
  <c r="CQ9" i="6"/>
  <c r="CP9" i="6"/>
  <c r="CM9" i="6"/>
  <c r="CL9" i="6"/>
  <c r="CI9" i="6"/>
  <c r="CH9" i="6"/>
  <c r="CE9" i="6"/>
  <c r="CD9" i="6"/>
  <c r="CA9" i="6"/>
  <c r="BZ9" i="6"/>
  <c r="BW9" i="6"/>
  <c r="BV9" i="6"/>
  <c r="BS9" i="6"/>
  <c r="BR9" i="6"/>
  <c r="BO9" i="6"/>
  <c r="BN9" i="6"/>
  <c r="BK9" i="6"/>
  <c r="BJ9" i="6"/>
  <c r="BG9" i="6"/>
  <c r="BF9" i="6"/>
  <c r="BC9" i="6"/>
  <c r="BB9" i="6"/>
  <c r="AY9" i="6"/>
  <c r="AX9" i="6"/>
  <c r="AU9" i="6"/>
  <c r="AT9" i="6"/>
  <c r="AQ9" i="6"/>
  <c r="AP9" i="6"/>
  <c r="AM9" i="6"/>
  <c r="AL9" i="6"/>
  <c r="AI9" i="6"/>
  <c r="AH9" i="6"/>
  <c r="AE9" i="6"/>
  <c r="AD9" i="6"/>
  <c r="AA9" i="6"/>
  <c r="Z9" i="6"/>
  <c r="W9" i="6"/>
  <c r="V9" i="6"/>
  <c r="S9" i="6"/>
  <c r="R9" i="6"/>
  <c r="O9" i="6"/>
  <c r="N9" i="6"/>
  <c r="K9" i="6"/>
  <c r="J9" i="6"/>
  <c r="G9" i="6"/>
  <c r="F9" i="6"/>
  <c r="DG8" i="6"/>
  <c r="DF8" i="6"/>
  <c r="DC8" i="6"/>
  <c r="DB8" i="6"/>
  <c r="CY8" i="6"/>
  <c r="CX8" i="6"/>
  <c r="CU8" i="6"/>
  <c r="CT8" i="6"/>
  <c r="CQ8" i="6"/>
  <c r="CP8" i="6"/>
  <c r="CM8" i="6"/>
  <c r="CL8" i="6"/>
  <c r="CI8" i="6"/>
  <c r="CH8" i="6"/>
  <c r="CE8" i="6"/>
  <c r="CD8" i="6"/>
  <c r="CA8" i="6"/>
  <c r="BZ8" i="6"/>
  <c r="BW8" i="6"/>
  <c r="BV8" i="6"/>
  <c r="BS8" i="6"/>
  <c r="BR8" i="6"/>
  <c r="BO8" i="6"/>
  <c r="BN8" i="6"/>
  <c r="BK8" i="6"/>
  <c r="BJ8" i="6"/>
  <c r="BG8" i="6"/>
  <c r="BF8" i="6"/>
  <c r="BC8" i="6"/>
  <c r="BB8" i="6"/>
  <c r="AY8" i="6"/>
  <c r="AX8" i="6"/>
  <c r="AU8" i="6"/>
  <c r="AT8" i="6"/>
  <c r="AQ8" i="6"/>
  <c r="AP8" i="6"/>
  <c r="AM8" i="6"/>
  <c r="AL8" i="6"/>
  <c r="AI8" i="6"/>
  <c r="AH8" i="6"/>
  <c r="AE8" i="6"/>
  <c r="AD8" i="6"/>
  <c r="AA8" i="6"/>
  <c r="Z8" i="6"/>
  <c r="W8" i="6"/>
  <c r="V8" i="6"/>
  <c r="S8" i="6"/>
  <c r="R8" i="6"/>
  <c r="O8" i="6"/>
  <c r="N8" i="6"/>
  <c r="K8" i="6"/>
  <c r="J8" i="6"/>
  <c r="G8" i="6"/>
  <c r="F8" i="6"/>
  <c r="DG7" i="6"/>
  <c r="DF7" i="6"/>
  <c r="DC7" i="6"/>
  <c r="DB7" i="6"/>
  <c r="CY7" i="6"/>
  <c r="CX7" i="6"/>
  <c r="CU7" i="6"/>
  <c r="CT7" i="6"/>
  <c r="CQ7" i="6"/>
  <c r="CP7" i="6"/>
  <c r="CM7" i="6"/>
  <c r="CL7" i="6"/>
  <c r="CI7" i="6"/>
  <c r="CH7" i="6"/>
  <c r="CE7" i="6"/>
  <c r="CD7" i="6"/>
  <c r="CA7" i="6"/>
  <c r="BZ7" i="6"/>
  <c r="BW7" i="6"/>
  <c r="BV7" i="6"/>
  <c r="BS7" i="6"/>
  <c r="BR7" i="6"/>
  <c r="BO7" i="6"/>
  <c r="BN7" i="6"/>
  <c r="BK7" i="6"/>
  <c r="BJ7" i="6"/>
  <c r="BG7" i="6"/>
  <c r="BF7" i="6"/>
  <c r="BC7" i="6"/>
  <c r="BB7" i="6"/>
  <c r="AY7" i="6"/>
  <c r="AX7" i="6"/>
  <c r="AU7" i="6"/>
  <c r="AT7" i="6"/>
  <c r="AQ7" i="6"/>
  <c r="AP7" i="6"/>
  <c r="AM7" i="6"/>
  <c r="AL7" i="6"/>
  <c r="AI7" i="6"/>
  <c r="AH7" i="6"/>
  <c r="AE7" i="6"/>
  <c r="AD7" i="6"/>
  <c r="AA7" i="6"/>
  <c r="Z7" i="6"/>
  <c r="W7" i="6"/>
  <c r="V7" i="6"/>
  <c r="S7" i="6"/>
  <c r="R7" i="6"/>
  <c r="O7" i="6"/>
  <c r="N7" i="6"/>
  <c r="K7" i="6"/>
  <c r="J7" i="6"/>
  <c r="G7" i="6"/>
  <c r="F7" i="6"/>
  <c r="DG6" i="6"/>
  <c r="DF6" i="6"/>
  <c r="DC6" i="6"/>
  <c r="DB6" i="6"/>
  <c r="CY6" i="6"/>
  <c r="CX6" i="6"/>
  <c r="CU6" i="6"/>
  <c r="CT6" i="6"/>
  <c r="CQ6" i="6"/>
  <c r="CP6" i="6"/>
  <c r="CM6" i="6"/>
  <c r="CL6" i="6"/>
  <c r="CI6" i="6"/>
  <c r="CH6" i="6"/>
  <c r="CE6" i="6"/>
  <c r="CD6" i="6"/>
  <c r="CA6" i="6"/>
  <c r="BZ6" i="6"/>
  <c r="BW6" i="6"/>
  <c r="BV6" i="6"/>
  <c r="BS6" i="6"/>
  <c r="BR6" i="6"/>
  <c r="BO6" i="6"/>
  <c r="BN6" i="6"/>
  <c r="BK6" i="6"/>
  <c r="BJ6" i="6"/>
  <c r="BG6" i="6"/>
  <c r="BF6" i="6"/>
  <c r="BC6" i="6"/>
  <c r="BB6" i="6"/>
  <c r="AY6" i="6"/>
  <c r="AX6" i="6"/>
  <c r="AU6" i="6"/>
  <c r="AT6" i="6"/>
  <c r="AQ6" i="6"/>
  <c r="AP6" i="6"/>
  <c r="AM6" i="6"/>
  <c r="AL6" i="6"/>
  <c r="AI6" i="6"/>
  <c r="AH6" i="6"/>
  <c r="AE6" i="6"/>
  <c r="AD6" i="6"/>
  <c r="AA6" i="6"/>
  <c r="Z6" i="6"/>
  <c r="W6" i="6"/>
  <c r="V6" i="6"/>
  <c r="S6" i="6"/>
  <c r="R6" i="6"/>
  <c r="O6" i="6"/>
  <c r="N6" i="6"/>
  <c r="K6" i="6"/>
  <c r="J6" i="6"/>
  <c r="G6" i="6"/>
  <c r="F6" i="6"/>
  <c r="DG5" i="6"/>
  <c r="DF5" i="6"/>
  <c r="DC5" i="6"/>
  <c r="DB5" i="6"/>
  <c r="CY5" i="6"/>
  <c r="CX5" i="6"/>
  <c r="CU5" i="6"/>
  <c r="CT5" i="6"/>
  <c r="CQ5" i="6"/>
  <c r="CP5" i="6"/>
  <c r="CM5" i="6"/>
  <c r="CL5" i="6"/>
  <c r="CI5" i="6"/>
  <c r="CH5" i="6"/>
  <c r="CE5" i="6"/>
  <c r="CD5" i="6"/>
  <c r="CA5" i="6"/>
  <c r="BZ5" i="6"/>
  <c r="BW5" i="6"/>
  <c r="BV5" i="6"/>
  <c r="BS5" i="6"/>
  <c r="BR5" i="6"/>
  <c r="BO5" i="6"/>
  <c r="BN5" i="6"/>
  <c r="BK5" i="6"/>
  <c r="BJ5" i="6"/>
  <c r="BG5" i="6"/>
  <c r="BF5" i="6"/>
  <c r="BC5" i="6"/>
  <c r="BB5" i="6"/>
  <c r="AY5" i="6"/>
  <c r="AX5" i="6"/>
  <c r="AU5" i="6"/>
  <c r="AT5" i="6"/>
  <c r="AQ5" i="6"/>
  <c r="AP5" i="6"/>
  <c r="AM5" i="6"/>
  <c r="AL5" i="6"/>
  <c r="AI5" i="6"/>
  <c r="AH5" i="6"/>
  <c r="AE5" i="6"/>
  <c r="AD5" i="6"/>
  <c r="AA5" i="6"/>
  <c r="Z5" i="6"/>
  <c r="W5" i="6"/>
  <c r="V5" i="6"/>
  <c r="S5" i="6"/>
  <c r="R5" i="6"/>
  <c r="O5" i="6"/>
  <c r="N5" i="6"/>
  <c r="K5" i="6"/>
  <c r="J5" i="6"/>
  <c r="G5" i="6"/>
  <c r="F5" i="6"/>
  <c r="DG4" i="6"/>
  <c r="DF4" i="6"/>
  <c r="DC4" i="6"/>
  <c r="DB4" i="6"/>
  <c r="CY4" i="6"/>
  <c r="CX4" i="6"/>
  <c r="CU4" i="6"/>
  <c r="CT4" i="6"/>
  <c r="CQ4" i="6"/>
  <c r="CP4" i="6"/>
  <c r="CM4" i="6"/>
  <c r="CL4" i="6"/>
  <c r="CI4" i="6"/>
  <c r="CH4" i="6"/>
  <c r="CE4" i="6"/>
  <c r="CD4" i="6"/>
  <c r="CA4" i="6"/>
  <c r="BZ4" i="6"/>
  <c r="BW4" i="6"/>
  <c r="BV4" i="6"/>
  <c r="BS4" i="6"/>
  <c r="BR4" i="6"/>
  <c r="BO4" i="6"/>
  <c r="BN4" i="6"/>
  <c r="BK4" i="6"/>
  <c r="BJ4" i="6"/>
  <c r="BG4" i="6"/>
  <c r="BF4" i="6"/>
  <c r="BC4" i="6"/>
  <c r="BB4" i="6"/>
  <c r="AY4" i="6"/>
  <c r="AX4" i="6"/>
  <c r="AU4" i="6"/>
  <c r="AT4" i="6"/>
  <c r="AQ4" i="6"/>
  <c r="AP4" i="6"/>
  <c r="AM4" i="6"/>
  <c r="AL4" i="6"/>
  <c r="AI4" i="6"/>
  <c r="AH4" i="6"/>
  <c r="AE4" i="6"/>
  <c r="AD4" i="6"/>
  <c r="AA4" i="6"/>
  <c r="Z4" i="6"/>
  <c r="W4" i="6"/>
  <c r="V4" i="6"/>
  <c r="S4" i="6"/>
  <c r="R4" i="6"/>
  <c r="O4" i="6"/>
  <c r="N4" i="6"/>
  <c r="K4" i="6"/>
  <c r="J4" i="6"/>
  <c r="G4" i="6"/>
  <c r="F4" i="6"/>
  <c r="DK75" i="4"/>
  <c r="DG75" i="4"/>
  <c r="DC75" i="4"/>
  <c r="CY75" i="4"/>
  <c r="CU75" i="4"/>
  <c r="CQ75" i="4"/>
  <c r="CM75" i="4"/>
  <c r="CI75" i="4"/>
  <c r="CE75" i="4"/>
  <c r="CA75" i="4"/>
  <c r="BW75" i="4"/>
  <c r="BS75" i="4"/>
  <c r="BO75" i="4"/>
  <c r="BK75" i="4"/>
  <c r="BG75" i="4"/>
  <c r="BC75" i="4"/>
  <c r="AY75" i="4"/>
  <c r="AU75" i="4"/>
  <c r="AQ75" i="4"/>
  <c r="AM75" i="4"/>
  <c r="AI75" i="4"/>
  <c r="AE75" i="4"/>
  <c r="AA75" i="4"/>
  <c r="W75" i="4"/>
  <c r="S75" i="4"/>
  <c r="O75" i="4"/>
  <c r="K75" i="4"/>
  <c r="H75" i="4"/>
  <c r="DP75" i="4" s="1"/>
  <c r="DK74" i="4"/>
  <c r="DG74" i="4"/>
  <c r="DC74" i="4"/>
  <c r="CY74" i="4"/>
  <c r="CU74" i="4"/>
  <c r="CQ74" i="4"/>
  <c r="CM74" i="4"/>
  <c r="CI74" i="4"/>
  <c r="CE74" i="4"/>
  <c r="CA74" i="4"/>
  <c r="BW74" i="4"/>
  <c r="BS74" i="4"/>
  <c r="BO74" i="4"/>
  <c r="BK74" i="4"/>
  <c r="BG74" i="4"/>
  <c r="BC74" i="4"/>
  <c r="AY74" i="4"/>
  <c r="AU74" i="4"/>
  <c r="AQ74" i="4"/>
  <c r="AM74" i="4"/>
  <c r="AI74" i="4"/>
  <c r="AE74" i="4"/>
  <c r="AA74" i="4"/>
  <c r="W74" i="4"/>
  <c r="S74" i="4"/>
  <c r="O74" i="4"/>
  <c r="K74" i="4"/>
  <c r="H74" i="4"/>
  <c r="DK73" i="4"/>
  <c r="DG73" i="4"/>
  <c r="DC73" i="4"/>
  <c r="CY73" i="4"/>
  <c r="CU73" i="4"/>
  <c r="CQ73" i="4"/>
  <c r="CM73" i="4"/>
  <c r="CI73" i="4"/>
  <c r="CE73" i="4"/>
  <c r="CA73" i="4"/>
  <c r="BW73" i="4"/>
  <c r="BS73" i="4"/>
  <c r="BO73" i="4"/>
  <c r="BK73" i="4"/>
  <c r="BG73" i="4"/>
  <c r="BC73" i="4"/>
  <c r="AY73" i="4"/>
  <c r="AU73" i="4"/>
  <c r="AQ73" i="4"/>
  <c r="AM73" i="4"/>
  <c r="AI73" i="4"/>
  <c r="AE73" i="4"/>
  <c r="AA73" i="4"/>
  <c r="W73" i="4"/>
  <c r="S73" i="4"/>
  <c r="O73" i="4"/>
  <c r="K73" i="4"/>
  <c r="H73" i="4"/>
  <c r="DK72" i="4"/>
  <c r="DG72" i="4"/>
  <c r="DC72" i="4"/>
  <c r="CY72" i="4"/>
  <c r="CU72" i="4"/>
  <c r="CQ72" i="4"/>
  <c r="CM72" i="4"/>
  <c r="CI72" i="4"/>
  <c r="CE72" i="4"/>
  <c r="CA72" i="4"/>
  <c r="BW72" i="4"/>
  <c r="BS72" i="4"/>
  <c r="BO72" i="4"/>
  <c r="BK72" i="4"/>
  <c r="BG72" i="4"/>
  <c r="BC72" i="4"/>
  <c r="AY72" i="4"/>
  <c r="AU72" i="4"/>
  <c r="AQ72" i="4"/>
  <c r="AM72" i="4"/>
  <c r="AI72" i="4"/>
  <c r="AE72" i="4"/>
  <c r="AA72" i="4"/>
  <c r="W72" i="4"/>
  <c r="S72" i="4"/>
  <c r="O72" i="4"/>
  <c r="K72" i="4"/>
  <c r="H72" i="4"/>
  <c r="CZ72" i="4" s="1"/>
  <c r="DK71" i="4"/>
  <c r="DG71" i="4"/>
  <c r="DC71" i="4"/>
  <c r="CY71" i="4"/>
  <c r="CU71" i="4"/>
  <c r="CQ71" i="4"/>
  <c r="CM71" i="4"/>
  <c r="CI71" i="4"/>
  <c r="CE71" i="4"/>
  <c r="CA71" i="4"/>
  <c r="BW71" i="4"/>
  <c r="BS71" i="4"/>
  <c r="BO71" i="4"/>
  <c r="BK71" i="4"/>
  <c r="BG71" i="4"/>
  <c r="BC71" i="4"/>
  <c r="AY71" i="4"/>
  <c r="AU71" i="4"/>
  <c r="AQ71" i="4"/>
  <c r="AM71" i="4"/>
  <c r="AI71" i="4"/>
  <c r="AE71" i="4"/>
  <c r="AA71" i="4"/>
  <c r="W71" i="4"/>
  <c r="S71" i="4"/>
  <c r="O71" i="4"/>
  <c r="K71" i="4"/>
  <c r="H71" i="4"/>
  <c r="DP71" i="4" s="1"/>
  <c r="DK70" i="4"/>
  <c r="DG70" i="4"/>
  <c r="DC70" i="4"/>
  <c r="CY70" i="4"/>
  <c r="CU70" i="4"/>
  <c r="CQ70" i="4"/>
  <c r="CM70" i="4"/>
  <c r="CI70" i="4"/>
  <c r="CE70" i="4"/>
  <c r="CA70" i="4"/>
  <c r="BW70" i="4"/>
  <c r="BS70" i="4"/>
  <c r="BO70" i="4"/>
  <c r="BK70" i="4"/>
  <c r="BG70" i="4"/>
  <c r="BC70" i="4"/>
  <c r="AY70" i="4"/>
  <c r="AU70" i="4"/>
  <c r="AQ70" i="4"/>
  <c r="AM70" i="4"/>
  <c r="AI70" i="4"/>
  <c r="AE70" i="4"/>
  <c r="AA70" i="4"/>
  <c r="W70" i="4"/>
  <c r="S70" i="4"/>
  <c r="O70" i="4"/>
  <c r="K70" i="4"/>
  <c r="H70" i="4"/>
  <c r="DK69" i="4"/>
  <c r="DG69" i="4"/>
  <c r="DC69" i="4"/>
  <c r="CY69" i="4"/>
  <c r="CU69" i="4"/>
  <c r="CQ69" i="4"/>
  <c r="CM69" i="4"/>
  <c r="CI69" i="4"/>
  <c r="CE69" i="4"/>
  <c r="CA69" i="4"/>
  <c r="BW69" i="4"/>
  <c r="BS69" i="4"/>
  <c r="BO69" i="4"/>
  <c r="BK69" i="4"/>
  <c r="BG69" i="4"/>
  <c r="BC69" i="4"/>
  <c r="AY69" i="4"/>
  <c r="AU69" i="4"/>
  <c r="AQ69" i="4"/>
  <c r="AM69" i="4"/>
  <c r="AI69" i="4"/>
  <c r="AE69" i="4"/>
  <c r="AA69" i="4"/>
  <c r="W69" i="4"/>
  <c r="S69" i="4"/>
  <c r="O69" i="4"/>
  <c r="K69" i="4"/>
  <c r="H69" i="4"/>
  <c r="DK68" i="4"/>
  <c r="DG68" i="4"/>
  <c r="DC68" i="4"/>
  <c r="CY68" i="4"/>
  <c r="CU68" i="4"/>
  <c r="CQ68" i="4"/>
  <c r="CM68" i="4"/>
  <c r="CI68" i="4"/>
  <c r="CE68" i="4"/>
  <c r="CA68" i="4"/>
  <c r="BW68" i="4"/>
  <c r="BS68" i="4"/>
  <c r="BO68" i="4"/>
  <c r="BK68" i="4"/>
  <c r="BG68" i="4"/>
  <c r="BC68" i="4"/>
  <c r="AY68" i="4"/>
  <c r="AU68" i="4"/>
  <c r="AQ68" i="4"/>
  <c r="AM68" i="4"/>
  <c r="AI68" i="4"/>
  <c r="AE68" i="4"/>
  <c r="AA68" i="4"/>
  <c r="W68" i="4"/>
  <c r="S68" i="4"/>
  <c r="O68" i="4"/>
  <c r="K68" i="4"/>
  <c r="H68" i="4"/>
  <c r="DK67" i="4"/>
  <c r="DG67" i="4"/>
  <c r="DC67" i="4"/>
  <c r="CY67" i="4"/>
  <c r="CU67" i="4"/>
  <c r="CQ67" i="4"/>
  <c r="CM67" i="4"/>
  <c r="CI67" i="4"/>
  <c r="CE67" i="4"/>
  <c r="CA67" i="4"/>
  <c r="BW67" i="4"/>
  <c r="BS67" i="4"/>
  <c r="BO67" i="4"/>
  <c r="BK67" i="4"/>
  <c r="BG67" i="4"/>
  <c r="BC67" i="4"/>
  <c r="AY67" i="4"/>
  <c r="AU67" i="4"/>
  <c r="AQ67" i="4"/>
  <c r="AM67" i="4"/>
  <c r="AI67" i="4"/>
  <c r="AE67" i="4"/>
  <c r="AA67" i="4"/>
  <c r="W67" i="4"/>
  <c r="S67" i="4"/>
  <c r="O67" i="4"/>
  <c r="K67" i="4"/>
  <c r="H67" i="4"/>
  <c r="DP67" i="4" s="1"/>
  <c r="DK66" i="4"/>
  <c r="DG66" i="4"/>
  <c r="DC66" i="4"/>
  <c r="CY66" i="4"/>
  <c r="CU66" i="4"/>
  <c r="CQ66" i="4"/>
  <c r="CM66" i="4"/>
  <c r="CI66" i="4"/>
  <c r="CE66" i="4"/>
  <c r="CA66" i="4"/>
  <c r="BW66" i="4"/>
  <c r="BS66" i="4"/>
  <c r="BO66" i="4"/>
  <c r="BK66" i="4"/>
  <c r="BG66" i="4"/>
  <c r="BC66" i="4"/>
  <c r="AY66" i="4"/>
  <c r="AU66" i="4"/>
  <c r="AQ66" i="4"/>
  <c r="AM66" i="4"/>
  <c r="AI66" i="4"/>
  <c r="AE66" i="4"/>
  <c r="AA66" i="4"/>
  <c r="W66" i="4"/>
  <c r="S66" i="4"/>
  <c r="O66" i="4"/>
  <c r="K66" i="4"/>
  <c r="H66" i="4"/>
  <c r="DK65" i="4"/>
  <c r="DG65" i="4"/>
  <c r="DC65" i="4"/>
  <c r="CY65" i="4"/>
  <c r="CU65" i="4"/>
  <c r="CQ65" i="4"/>
  <c r="CM65" i="4"/>
  <c r="CI65" i="4"/>
  <c r="CE65" i="4"/>
  <c r="CA65" i="4"/>
  <c r="BW65" i="4"/>
  <c r="BS65" i="4"/>
  <c r="BO65" i="4"/>
  <c r="BK65" i="4"/>
  <c r="BG65" i="4"/>
  <c r="BC65" i="4"/>
  <c r="AY65" i="4"/>
  <c r="AU65" i="4"/>
  <c r="AQ65" i="4"/>
  <c r="AM65" i="4"/>
  <c r="AI65" i="4"/>
  <c r="AE65" i="4"/>
  <c r="AA65" i="4"/>
  <c r="W65" i="4"/>
  <c r="S65" i="4"/>
  <c r="O65" i="4"/>
  <c r="K65" i="4"/>
  <c r="H65" i="4"/>
  <c r="DK64" i="4"/>
  <c r="DG64" i="4"/>
  <c r="DC64" i="4"/>
  <c r="CY64" i="4"/>
  <c r="CU64" i="4"/>
  <c r="CQ64" i="4"/>
  <c r="CM64" i="4"/>
  <c r="CI64" i="4"/>
  <c r="CE64" i="4"/>
  <c r="CA64" i="4"/>
  <c r="BW64" i="4"/>
  <c r="BS64" i="4"/>
  <c r="BO64" i="4"/>
  <c r="BK64" i="4"/>
  <c r="BG64" i="4"/>
  <c r="BC64" i="4"/>
  <c r="AY64" i="4"/>
  <c r="AU64" i="4"/>
  <c r="AQ64" i="4"/>
  <c r="AM64" i="4"/>
  <c r="AI64" i="4"/>
  <c r="AE64" i="4"/>
  <c r="AA64" i="4"/>
  <c r="W64" i="4"/>
  <c r="S64" i="4"/>
  <c r="O64" i="4"/>
  <c r="K64" i="4"/>
  <c r="H64" i="4"/>
  <c r="DK63" i="4"/>
  <c r="DG63" i="4"/>
  <c r="DC63" i="4"/>
  <c r="CY63" i="4"/>
  <c r="CU63" i="4"/>
  <c r="CQ63" i="4"/>
  <c r="CM63" i="4"/>
  <c r="CI63" i="4"/>
  <c r="CE63" i="4"/>
  <c r="CA63" i="4"/>
  <c r="BW63" i="4"/>
  <c r="BS63" i="4"/>
  <c r="BO63" i="4"/>
  <c r="BK63" i="4"/>
  <c r="BG63" i="4"/>
  <c r="BC63" i="4"/>
  <c r="AY63" i="4"/>
  <c r="AU63" i="4"/>
  <c r="AQ63" i="4"/>
  <c r="AM63" i="4"/>
  <c r="AI63" i="4"/>
  <c r="AE63" i="4"/>
  <c r="AA63" i="4"/>
  <c r="W63" i="4"/>
  <c r="S63" i="4"/>
  <c r="O63" i="4"/>
  <c r="K63" i="4"/>
  <c r="H63" i="4"/>
  <c r="DP63" i="4" s="1"/>
  <c r="DK62" i="4"/>
  <c r="DG62" i="4"/>
  <c r="DC62" i="4"/>
  <c r="CY62" i="4"/>
  <c r="CU62" i="4"/>
  <c r="CQ62" i="4"/>
  <c r="CM62" i="4"/>
  <c r="CI62" i="4"/>
  <c r="CE62" i="4"/>
  <c r="CA62" i="4"/>
  <c r="BW62" i="4"/>
  <c r="BS62" i="4"/>
  <c r="BO62" i="4"/>
  <c r="BK62" i="4"/>
  <c r="BG62" i="4"/>
  <c r="BC62" i="4"/>
  <c r="AY62" i="4"/>
  <c r="AU62" i="4"/>
  <c r="AQ62" i="4"/>
  <c r="AM62" i="4"/>
  <c r="AI62" i="4"/>
  <c r="AE62" i="4"/>
  <c r="AA62" i="4"/>
  <c r="W62" i="4"/>
  <c r="S62" i="4"/>
  <c r="O62" i="4"/>
  <c r="K62" i="4"/>
  <c r="H62" i="4"/>
  <c r="DK61" i="4"/>
  <c r="DG61" i="4"/>
  <c r="DC61" i="4"/>
  <c r="CY61" i="4"/>
  <c r="CU61" i="4"/>
  <c r="CQ61" i="4"/>
  <c r="CM61" i="4"/>
  <c r="CI61" i="4"/>
  <c r="CE61" i="4"/>
  <c r="CA61" i="4"/>
  <c r="BW61" i="4"/>
  <c r="BS61" i="4"/>
  <c r="BO61" i="4"/>
  <c r="BK61" i="4"/>
  <c r="BG61" i="4"/>
  <c r="BC61" i="4"/>
  <c r="AY61" i="4"/>
  <c r="AU61" i="4"/>
  <c r="AQ61" i="4"/>
  <c r="AM61" i="4"/>
  <c r="AI61" i="4"/>
  <c r="AE61" i="4"/>
  <c r="AA61" i="4"/>
  <c r="W61" i="4"/>
  <c r="S61" i="4"/>
  <c r="O61" i="4"/>
  <c r="K61" i="4"/>
  <c r="H61" i="4"/>
  <c r="DK60" i="4"/>
  <c r="DG60" i="4"/>
  <c r="DC60" i="4"/>
  <c r="CY60" i="4"/>
  <c r="CU60" i="4"/>
  <c r="CQ60" i="4"/>
  <c r="CM60" i="4"/>
  <c r="CI60" i="4"/>
  <c r="CE60" i="4"/>
  <c r="CA60" i="4"/>
  <c r="BW60" i="4"/>
  <c r="BS60" i="4"/>
  <c r="BO60" i="4"/>
  <c r="BK60" i="4"/>
  <c r="BG60" i="4"/>
  <c r="BC60" i="4"/>
  <c r="AY60" i="4"/>
  <c r="AU60" i="4"/>
  <c r="AQ60" i="4"/>
  <c r="AM60" i="4"/>
  <c r="AI60" i="4"/>
  <c r="AE60" i="4"/>
  <c r="AA60" i="4"/>
  <c r="W60" i="4"/>
  <c r="S60" i="4"/>
  <c r="O60" i="4"/>
  <c r="K60" i="4"/>
  <c r="H60" i="4"/>
  <c r="DK59" i="4"/>
  <c r="DG59" i="4"/>
  <c r="DC59" i="4"/>
  <c r="CY59" i="4"/>
  <c r="CU59" i="4"/>
  <c r="CQ59" i="4"/>
  <c r="CM59" i="4"/>
  <c r="CI59" i="4"/>
  <c r="CE59" i="4"/>
  <c r="CA59" i="4"/>
  <c r="BW59" i="4"/>
  <c r="BS59" i="4"/>
  <c r="BO59" i="4"/>
  <c r="BK59" i="4"/>
  <c r="BG59" i="4"/>
  <c r="BC59" i="4"/>
  <c r="AY59" i="4"/>
  <c r="AU59" i="4"/>
  <c r="AQ59" i="4"/>
  <c r="AM59" i="4"/>
  <c r="AI59" i="4"/>
  <c r="AE59" i="4"/>
  <c r="AA59" i="4"/>
  <c r="W59" i="4"/>
  <c r="S59" i="4"/>
  <c r="O59" i="4"/>
  <c r="K59" i="4"/>
  <c r="H59" i="4"/>
  <c r="DP59" i="4" s="1"/>
  <c r="DK58" i="4"/>
  <c r="DG58" i="4"/>
  <c r="DC58" i="4"/>
  <c r="CY58" i="4"/>
  <c r="CU58" i="4"/>
  <c r="CQ58" i="4"/>
  <c r="CM58" i="4"/>
  <c r="CI58" i="4"/>
  <c r="CE58" i="4"/>
  <c r="CA58" i="4"/>
  <c r="BW58" i="4"/>
  <c r="BS58" i="4"/>
  <c r="BO58" i="4"/>
  <c r="BK58" i="4"/>
  <c r="BG58" i="4"/>
  <c r="BC58" i="4"/>
  <c r="AY58" i="4"/>
  <c r="AU58" i="4"/>
  <c r="AQ58" i="4"/>
  <c r="AM58" i="4"/>
  <c r="AI58" i="4"/>
  <c r="AE58" i="4"/>
  <c r="AA58" i="4"/>
  <c r="W58" i="4"/>
  <c r="S58" i="4"/>
  <c r="O58" i="4"/>
  <c r="K58" i="4"/>
  <c r="H58" i="4"/>
  <c r="DK57" i="4"/>
  <c r="DG57" i="4"/>
  <c r="DC57" i="4"/>
  <c r="CY57" i="4"/>
  <c r="CU57" i="4"/>
  <c r="CQ57" i="4"/>
  <c r="CM57" i="4"/>
  <c r="CI57" i="4"/>
  <c r="CE57" i="4"/>
  <c r="CA57" i="4"/>
  <c r="BW57" i="4"/>
  <c r="BS57" i="4"/>
  <c r="BO57" i="4"/>
  <c r="BK57" i="4"/>
  <c r="BG57" i="4"/>
  <c r="BC57" i="4"/>
  <c r="AY57" i="4"/>
  <c r="AU57" i="4"/>
  <c r="AQ57" i="4"/>
  <c r="AM57" i="4"/>
  <c r="AI57" i="4"/>
  <c r="AE57" i="4"/>
  <c r="AA57" i="4"/>
  <c r="W57" i="4"/>
  <c r="S57" i="4"/>
  <c r="O57" i="4"/>
  <c r="K57" i="4"/>
  <c r="H57" i="4"/>
  <c r="DK56" i="4"/>
  <c r="DG56" i="4"/>
  <c r="DC56" i="4"/>
  <c r="CY56" i="4"/>
  <c r="CU56" i="4"/>
  <c r="CQ56" i="4"/>
  <c r="CM56" i="4"/>
  <c r="CI56" i="4"/>
  <c r="CE56" i="4"/>
  <c r="CA56" i="4"/>
  <c r="BW56" i="4"/>
  <c r="BS56" i="4"/>
  <c r="BO56" i="4"/>
  <c r="BK56" i="4"/>
  <c r="BG56" i="4"/>
  <c r="BC56" i="4"/>
  <c r="AY56" i="4"/>
  <c r="AU56" i="4"/>
  <c r="AQ56" i="4"/>
  <c r="AM56" i="4"/>
  <c r="AI56" i="4"/>
  <c r="AE56" i="4"/>
  <c r="AA56" i="4"/>
  <c r="W56" i="4"/>
  <c r="S56" i="4"/>
  <c r="O56" i="4"/>
  <c r="K56" i="4"/>
  <c r="H56" i="4"/>
  <c r="BD56" i="4" s="1"/>
  <c r="DK55" i="4"/>
  <c r="DG55" i="4"/>
  <c r="DC55" i="4"/>
  <c r="CY55" i="4"/>
  <c r="CU55" i="4"/>
  <c r="CQ55" i="4"/>
  <c r="CM55" i="4"/>
  <c r="CI55" i="4"/>
  <c r="CE55" i="4"/>
  <c r="CA55" i="4"/>
  <c r="BW55" i="4"/>
  <c r="BS55" i="4"/>
  <c r="BO55" i="4"/>
  <c r="BK55" i="4"/>
  <c r="BG55" i="4"/>
  <c r="BC55" i="4"/>
  <c r="AY55" i="4"/>
  <c r="AU55" i="4"/>
  <c r="AQ55" i="4"/>
  <c r="AM55" i="4"/>
  <c r="AI55" i="4"/>
  <c r="AE55" i="4"/>
  <c r="AA55" i="4"/>
  <c r="W55" i="4"/>
  <c r="S55" i="4"/>
  <c r="O55" i="4"/>
  <c r="K55" i="4"/>
  <c r="H55" i="4"/>
  <c r="DP55" i="4" s="1"/>
  <c r="DK54" i="4"/>
  <c r="DG54" i="4"/>
  <c r="DC54" i="4"/>
  <c r="CY54" i="4"/>
  <c r="CU54" i="4"/>
  <c r="CQ54" i="4"/>
  <c r="CM54" i="4"/>
  <c r="CI54" i="4"/>
  <c r="CE54" i="4"/>
  <c r="CA54" i="4"/>
  <c r="BW54" i="4"/>
  <c r="BS54" i="4"/>
  <c r="BO54" i="4"/>
  <c r="BK54" i="4"/>
  <c r="BG54" i="4"/>
  <c r="BC54" i="4"/>
  <c r="AY54" i="4"/>
  <c r="AU54" i="4"/>
  <c r="AQ54" i="4"/>
  <c r="AM54" i="4"/>
  <c r="AI54" i="4"/>
  <c r="AE54" i="4"/>
  <c r="AA54" i="4"/>
  <c r="W54" i="4"/>
  <c r="S54" i="4"/>
  <c r="O54" i="4"/>
  <c r="K54" i="4"/>
  <c r="H54" i="4"/>
  <c r="DK53" i="4"/>
  <c r="DG53" i="4"/>
  <c r="DC53" i="4"/>
  <c r="CY53" i="4"/>
  <c r="CU53" i="4"/>
  <c r="CQ53" i="4"/>
  <c r="CM53" i="4"/>
  <c r="CI53" i="4"/>
  <c r="CE53" i="4"/>
  <c r="CA53" i="4"/>
  <c r="BW53" i="4"/>
  <c r="BS53" i="4"/>
  <c r="BO53" i="4"/>
  <c r="BK53" i="4"/>
  <c r="BG53" i="4"/>
  <c r="BC53" i="4"/>
  <c r="AY53" i="4"/>
  <c r="AU53" i="4"/>
  <c r="AQ53" i="4"/>
  <c r="AM53" i="4"/>
  <c r="AI53" i="4"/>
  <c r="AE53" i="4"/>
  <c r="AA53" i="4"/>
  <c r="W53" i="4"/>
  <c r="S53" i="4"/>
  <c r="O53" i="4"/>
  <c r="K53" i="4"/>
  <c r="H53" i="4"/>
  <c r="DK52" i="4"/>
  <c r="DG52" i="4"/>
  <c r="DC52" i="4"/>
  <c r="CY52" i="4"/>
  <c r="CU52" i="4"/>
  <c r="CQ52" i="4"/>
  <c r="CM52" i="4"/>
  <c r="CI52" i="4"/>
  <c r="CE52" i="4"/>
  <c r="CA52" i="4"/>
  <c r="BW52" i="4"/>
  <c r="BS52" i="4"/>
  <c r="BO52" i="4"/>
  <c r="BK52" i="4"/>
  <c r="BG52" i="4"/>
  <c r="BC52" i="4"/>
  <c r="AY52" i="4"/>
  <c r="AU52" i="4"/>
  <c r="AQ52" i="4"/>
  <c r="AM52" i="4"/>
  <c r="AI52" i="4"/>
  <c r="AE52" i="4"/>
  <c r="AA52" i="4"/>
  <c r="W52" i="4"/>
  <c r="S52" i="4"/>
  <c r="O52" i="4"/>
  <c r="K52" i="4"/>
  <c r="H52" i="4"/>
  <c r="DK51" i="4"/>
  <c r="DG51" i="4"/>
  <c r="DC51" i="4"/>
  <c r="CY51" i="4"/>
  <c r="CU51" i="4"/>
  <c r="CQ51" i="4"/>
  <c r="CM51" i="4"/>
  <c r="CI51" i="4"/>
  <c r="CE51" i="4"/>
  <c r="CA51" i="4"/>
  <c r="BW51" i="4"/>
  <c r="BS51" i="4"/>
  <c r="BO51" i="4"/>
  <c r="BK51" i="4"/>
  <c r="BG51" i="4"/>
  <c r="BC51" i="4"/>
  <c r="AY51" i="4"/>
  <c r="AU51" i="4"/>
  <c r="AQ51" i="4"/>
  <c r="AM51" i="4"/>
  <c r="AI51" i="4"/>
  <c r="AE51" i="4"/>
  <c r="AA51" i="4"/>
  <c r="W51" i="4"/>
  <c r="S51" i="4"/>
  <c r="O51" i="4"/>
  <c r="K51" i="4"/>
  <c r="H51" i="4"/>
  <c r="DP51" i="4" s="1"/>
  <c r="DK50" i="4"/>
  <c r="DG50" i="4"/>
  <c r="DC50" i="4"/>
  <c r="CY50" i="4"/>
  <c r="CU50" i="4"/>
  <c r="CQ50" i="4"/>
  <c r="CM50" i="4"/>
  <c r="CI50" i="4"/>
  <c r="CE50" i="4"/>
  <c r="CA50" i="4"/>
  <c r="BW50" i="4"/>
  <c r="BS50" i="4"/>
  <c r="BO50" i="4"/>
  <c r="BK50" i="4"/>
  <c r="BG50" i="4"/>
  <c r="BC50" i="4"/>
  <c r="AY50" i="4"/>
  <c r="AU50" i="4"/>
  <c r="AQ50" i="4"/>
  <c r="AM50" i="4"/>
  <c r="AI50" i="4"/>
  <c r="AE50" i="4"/>
  <c r="AA50" i="4"/>
  <c r="W50" i="4"/>
  <c r="S50" i="4"/>
  <c r="O50" i="4"/>
  <c r="K50" i="4"/>
  <c r="H50" i="4"/>
  <c r="DK49" i="4"/>
  <c r="DG49" i="4"/>
  <c r="DC49" i="4"/>
  <c r="CY49" i="4"/>
  <c r="CU49" i="4"/>
  <c r="CQ49" i="4"/>
  <c r="CM49" i="4"/>
  <c r="CI49" i="4"/>
  <c r="CE49" i="4"/>
  <c r="CA49" i="4"/>
  <c r="BW49" i="4"/>
  <c r="BS49" i="4"/>
  <c r="BO49" i="4"/>
  <c r="BK49" i="4"/>
  <c r="BG49" i="4"/>
  <c r="BC49" i="4"/>
  <c r="AY49" i="4"/>
  <c r="AU49" i="4"/>
  <c r="AQ49" i="4"/>
  <c r="AM49" i="4"/>
  <c r="AI49" i="4"/>
  <c r="AE49" i="4"/>
  <c r="AA49" i="4"/>
  <c r="W49" i="4"/>
  <c r="S49" i="4"/>
  <c r="O49" i="4"/>
  <c r="K49" i="4"/>
  <c r="H49" i="4"/>
  <c r="DK48" i="4"/>
  <c r="DG48" i="4"/>
  <c r="DC48" i="4"/>
  <c r="CY48" i="4"/>
  <c r="CU48" i="4"/>
  <c r="CQ48" i="4"/>
  <c r="CM48" i="4"/>
  <c r="CI48" i="4"/>
  <c r="CE48" i="4"/>
  <c r="CA48" i="4"/>
  <c r="BW48" i="4"/>
  <c r="BS48" i="4"/>
  <c r="BO48" i="4"/>
  <c r="BK48" i="4"/>
  <c r="BG48" i="4"/>
  <c r="BC48" i="4"/>
  <c r="AY48" i="4"/>
  <c r="AU48" i="4"/>
  <c r="AQ48" i="4"/>
  <c r="AM48" i="4"/>
  <c r="AI48" i="4"/>
  <c r="AE48" i="4"/>
  <c r="AA48" i="4"/>
  <c r="W48" i="4"/>
  <c r="S48" i="4"/>
  <c r="O48" i="4"/>
  <c r="K48" i="4"/>
  <c r="H48" i="4"/>
  <c r="CZ48" i="4" s="1"/>
  <c r="DK47" i="4"/>
  <c r="DG47" i="4"/>
  <c r="DC47" i="4"/>
  <c r="CY47" i="4"/>
  <c r="CU47" i="4"/>
  <c r="CQ47" i="4"/>
  <c r="CM47" i="4"/>
  <c r="CI47" i="4"/>
  <c r="CE47" i="4"/>
  <c r="CA47" i="4"/>
  <c r="BW47" i="4"/>
  <c r="BS47" i="4"/>
  <c r="BO47" i="4"/>
  <c r="BK47" i="4"/>
  <c r="BG47" i="4"/>
  <c r="BC47" i="4"/>
  <c r="AY47" i="4"/>
  <c r="AU47" i="4"/>
  <c r="AQ47" i="4"/>
  <c r="AM47" i="4"/>
  <c r="AI47" i="4"/>
  <c r="AE47" i="4"/>
  <c r="AA47" i="4"/>
  <c r="W47" i="4"/>
  <c r="S47" i="4"/>
  <c r="O47" i="4"/>
  <c r="K47" i="4"/>
  <c r="H47" i="4"/>
  <c r="DP47" i="4" s="1"/>
  <c r="DK46" i="4"/>
  <c r="DG46" i="4"/>
  <c r="DC46" i="4"/>
  <c r="CY46" i="4"/>
  <c r="CU46" i="4"/>
  <c r="CQ46" i="4"/>
  <c r="CM46" i="4"/>
  <c r="CI46" i="4"/>
  <c r="CE46" i="4"/>
  <c r="CA46" i="4"/>
  <c r="BW46" i="4"/>
  <c r="BS46" i="4"/>
  <c r="BO46" i="4"/>
  <c r="BK46" i="4"/>
  <c r="BG46" i="4"/>
  <c r="BC46" i="4"/>
  <c r="AY46" i="4"/>
  <c r="AU46" i="4"/>
  <c r="AQ46" i="4"/>
  <c r="AM46" i="4"/>
  <c r="AI46" i="4"/>
  <c r="AE46" i="4"/>
  <c r="AA46" i="4"/>
  <c r="W46" i="4"/>
  <c r="S46" i="4"/>
  <c r="O46" i="4"/>
  <c r="K46" i="4"/>
  <c r="H46" i="4"/>
  <c r="DK45" i="4"/>
  <c r="DG45" i="4"/>
  <c r="DC45" i="4"/>
  <c r="CY45" i="4"/>
  <c r="CU45" i="4"/>
  <c r="CQ45" i="4"/>
  <c r="CM45" i="4"/>
  <c r="CI45" i="4"/>
  <c r="CE45" i="4"/>
  <c r="CA45" i="4"/>
  <c r="BW45" i="4"/>
  <c r="BS45" i="4"/>
  <c r="BO45" i="4"/>
  <c r="BK45" i="4"/>
  <c r="BG45" i="4"/>
  <c r="BC45" i="4"/>
  <c r="AY45" i="4"/>
  <c r="AU45" i="4"/>
  <c r="AQ45" i="4"/>
  <c r="AM45" i="4"/>
  <c r="AI45" i="4"/>
  <c r="AE45" i="4"/>
  <c r="AA45" i="4"/>
  <c r="W45" i="4"/>
  <c r="S45" i="4"/>
  <c r="O45" i="4"/>
  <c r="K45" i="4"/>
  <c r="H45" i="4"/>
  <c r="DK44" i="4"/>
  <c r="DG44" i="4"/>
  <c r="DC44" i="4"/>
  <c r="CY44" i="4"/>
  <c r="CU44" i="4"/>
  <c r="CQ44" i="4"/>
  <c r="CM44" i="4"/>
  <c r="CI44" i="4"/>
  <c r="CE44" i="4"/>
  <c r="CA44" i="4"/>
  <c r="BW44" i="4"/>
  <c r="BS44" i="4"/>
  <c r="BO44" i="4"/>
  <c r="BK44" i="4"/>
  <c r="BG44" i="4"/>
  <c r="BC44" i="4"/>
  <c r="AY44" i="4"/>
  <c r="AU44" i="4"/>
  <c r="AQ44" i="4"/>
  <c r="AM44" i="4"/>
  <c r="AI44" i="4"/>
  <c r="AE44" i="4"/>
  <c r="AA44" i="4"/>
  <c r="W44" i="4"/>
  <c r="S44" i="4"/>
  <c r="O44" i="4"/>
  <c r="K44" i="4"/>
  <c r="H44" i="4"/>
  <c r="DK43" i="4"/>
  <c r="DG43" i="4"/>
  <c r="DC43" i="4"/>
  <c r="CY43" i="4"/>
  <c r="CU43" i="4"/>
  <c r="CQ43" i="4"/>
  <c r="CM43" i="4"/>
  <c r="CI43" i="4"/>
  <c r="CE43" i="4"/>
  <c r="CA43" i="4"/>
  <c r="BW43" i="4"/>
  <c r="BS43" i="4"/>
  <c r="BO43" i="4"/>
  <c r="BK43" i="4"/>
  <c r="BG43" i="4"/>
  <c r="BC43" i="4"/>
  <c r="AY43" i="4"/>
  <c r="AU43" i="4"/>
  <c r="AQ43" i="4"/>
  <c r="AM43" i="4"/>
  <c r="AI43" i="4"/>
  <c r="AE43" i="4"/>
  <c r="AA43" i="4"/>
  <c r="W43" i="4"/>
  <c r="S43" i="4"/>
  <c r="O43" i="4"/>
  <c r="K43" i="4"/>
  <c r="H43" i="4"/>
  <c r="DP43" i="4" s="1"/>
  <c r="DK42" i="4"/>
  <c r="DG42" i="4"/>
  <c r="DC42" i="4"/>
  <c r="CY42" i="4"/>
  <c r="CU42" i="4"/>
  <c r="CQ42" i="4"/>
  <c r="CM42" i="4"/>
  <c r="CI42" i="4"/>
  <c r="CE42" i="4"/>
  <c r="CA42" i="4"/>
  <c r="BW42" i="4"/>
  <c r="BS42" i="4"/>
  <c r="BO42" i="4"/>
  <c r="BK42" i="4"/>
  <c r="BG42" i="4"/>
  <c r="BC42" i="4"/>
  <c r="AY42" i="4"/>
  <c r="AU42" i="4"/>
  <c r="AQ42" i="4"/>
  <c r="AM42" i="4"/>
  <c r="AI42" i="4"/>
  <c r="AE42" i="4"/>
  <c r="AA42" i="4"/>
  <c r="W42" i="4"/>
  <c r="S42" i="4"/>
  <c r="O42" i="4"/>
  <c r="K42" i="4"/>
  <c r="H42" i="4"/>
  <c r="DK41" i="4"/>
  <c r="DG41" i="4"/>
  <c r="DC41" i="4"/>
  <c r="CY41" i="4"/>
  <c r="CU41" i="4"/>
  <c r="CQ41" i="4"/>
  <c r="CM41" i="4"/>
  <c r="CI41" i="4"/>
  <c r="CE41" i="4"/>
  <c r="CA41" i="4"/>
  <c r="BW41" i="4"/>
  <c r="BS41" i="4"/>
  <c r="BO41" i="4"/>
  <c r="BK41" i="4"/>
  <c r="BG41" i="4"/>
  <c r="BC41" i="4"/>
  <c r="AY41" i="4"/>
  <c r="AU41" i="4"/>
  <c r="AQ41" i="4"/>
  <c r="AM41" i="4"/>
  <c r="AI41" i="4"/>
  <c r="AE41" i="4"/>
  <c r="AA41" i="4"/>
  <c r="W41" i="4"/>
  <c r="S41" i="4"/>
  <c r="O41" i="4"/>
  <c r="K41" i="4"/>
  <c r="H41" i="4"/>
  <c r="DK40" i="4"/>
  <c r="DG40" i="4"/>
  <c r="DC40" i="4"/>
  <c r="CY40" i="4"/>
  <c r="CU40" i="4"/>
  <c r="CQ40" i="4"/>
  <c r="CM40" i="4"/>
  <c r="CI40" i="4"/>
  <c r="CE40" i="4"/>
  <c r="CA40" i="4"/>
  <c r="BW40" i="4"/>
  <c r="BS40" i="4"/>
  <c r="BO40" i="4"/>
  <c r="BK40" i="4"/>
  <c r="BG40" i="4"/>
  <c r="BC40" i="4"/>
  <c r="AY40" i="4"/>
  <c r="AU40" i="4"/>
  <c r="AQ40" i="4"/>
  <c r="AM40" i="4"/>
  <c r="AI40" i="4"/>
  <c r="AE40" i="4"/>
  <c r="AA40" i="4"/>
  <c r="W40" i="4"/>
  <c r="S40" i="4"/>
  <c r="O40" i="4"/>
  <c r="K40" i="4"/>
  <c r="H40" i="4"/>
  <c r="DK39" i="4"/>
  <c r="DG39" i="4"/>
  <c r="DC39" i="4"/>
  <c r="CY39" i="4"/>
  <c r="CU39" i="4"/>
  <c r="CQ39" i="4"/>
  <c r="CM39" i="4"/>
  <c r="CI39" i="4"/>
  <c r="CE39" i="4"/>
  <c r="CA39" i="4"/>
  <c r="BW39" i="4"/>
  <c r="BS39" i="4"/>
  <c r="BO39" i="4"/>
  <c r="BK39" i="4"/>
  <c r="BG39" i="4"/>
  <c r="BC39" i="4"/>
  <c r="AY39" i="4"/>
  <c r="AU39" i="4"/>
  <c r="AQ39" i="4"/>
  <c r="AM39" i="4"/>
  <c r="AI39" i="4"/>
  <c r="AE39" i="4"/>
  <c r="AA39" i="4"/>
  <c r="W39" i="4"/>
  <c r="S39" i="4"/>
  <c r="O39" i="4"/>
  <c r="K39" i="4"/>
  <c r="H39" i="4"/>
  <c r="DP39" i="4" s="1"/>
  <c r="DK38" i="4"/>
  <c r="DG38" i="4"/>
  <c r="DC38" i="4"/>
  <c r="CY38" i="4"/>
  <c r="CU38" i="4"/>
  <c r="CQ38" i="4"/>
  <c r="CM38" i="4"/>
  <c r="CI38" i="4"/>
  <c r="CE38" i="4"/>
  <c r="CA38" i="4"/>
  <c r="BW38" i="4"/>
  <c r="BS38" i="4"/>
  <c r="BO38" i="4"/>
  <c r="BK38" i="4"/>
  <c r="BG38" i="4"/>
  <c r="BC38" i="4"/>
  <c r="AY38" i="4"/>
  <c r="AU38" i="4"/>
  <c r="AQ38" i="4"/>
  <c r="AM38" i="4"/>
  <c r="AI38" i="4"/>
  <c r="AE38" i="4"/>
  <c r="AA38" i="4"/>
  <c r="W38" i="4"/>
  <c r="S38" i="4"/>
  <c r="O38" i="4"/>
  <c r="K38" i="4"/>
  <c r="H38" i="4"/>
  <c r="CZ38" i="4" s="1"/>
  <c r="DK37" i="4"/>
  <c r="DG37" i="4"/>
  <c r="DC37" i="4"/>
  <c r="CY37" i="4"/>
  <c r="CU37" i="4"/>
  <c r="CQ37" i="4"/>
  <c r="CM37" i="4"/>
  <c r="CI37" i="4"/>
  <c r="CE37" i="4"/>
  <c r="CA37" i="4"/>
  <c r="BW37" i="4"/>
  <c r="BS37" i="4"/>
  <c r="BO37" i="4"/>
  <c r="BK37" i="4"/>
  <c r="BG37" i="4"/>
  <c r="BC37" i="4"/>
  <c r="AY37" i="4"/>
  <c r="AU37" i="4"/>
  <c r="AQ37" i="4"/>
  <c r="AM37" i="4"/>
  <c r="AI37" i="4"/>
  <c r="AE37" i="4"/>
  <c r="AA37" i="4"/>
  <c r="W37" i="4"/>
  <c r="S37" i="4"/>
  <c r="O37" i="4"/>
  <c r="K37" i="4"/>
  <c r="H37" i="4"/>
  <c r="DK36" i="4"/>
  <c r="DG36" i="4"/>
  <c r="DC36" i="4"/>
  <c r="CY36" i="4"/>
  <c r="CU36" i="4"/>
  <c r="CQ36" i="4"/>
  <c r="CM36" i="4"/>
  <c r="CI36" i="4"/>
  <c r="CE36" i="4"/>
  <c r="CA36" i="4"/>
  <c r="BW36" i="4"/>
  <c r="BS36" i="4"/>
  <c r="BO36" i="4"/>
  <c r="BK36" i="4"/>
  <c r="BG36" i="4"/>
  <c r="BC36" i="4"/>
  <c r="AY36" i="4"/>
  <c r="AU36" i="4"/>
  <c r="AQ36" i="4"/>
  <c r="AM36" i="4"/>
  <c r="AI36" i="4"/>
  <c r="AE36" i="4"/>
  <c r="AA36" i="4"/>
  <c r="W36" i="4"/>
  <c r="S36" i="4"/>
  <c r="O36" i="4"/>
  <c r="K36" i="4"/>
  <c r="H36" i="4"/>
  <c r="DK35" i="4"/>
  <c r="DG35" i="4"/>
  <c r="DC35" i="4"/>
  <c r="CY35" i="4"/>
  <c r="CU35" i="4"/>
  <c r="CQ35" i="4"/>
  <c r="CM35" i="4"/>
  <c r="CI35" i="4"/>
  <c r="CE35" i="4"/>
  <c r="CA35" i="4"/>
  <c r="BW35" i="4"/>
  <c r="BS35" i="4"/>
  <c r="BO35" i="4"/>
  <c r="BK35" i="4"/>
  <c r="BG35" i="4"/>
  <c r="BC35" i="4"/>
  <c r="AY35" i="4"/>
  <c r="AU35" i="4"/>
  <c r="AQ35" i="4"/>
  <c r="AM35" i="4"/>
  <c r="AI35" i="4"/>
  <c r="AE35" i="4"/>
  <c r="AA35" i="4"/>
  <c r="W35" i="4"/>
  <c r="S35" i="4"/>
  <c r="O35" i="4"/>
  <c r="K35" i="4"/>
  <c r="H35" i="4"/>
  <c r="DP35" i="4" s="1"/>
  <c r="DK34" i="4"/>
  <c r="DG34" i="4"/>
  <c r="DC34" i="4"/>
  <c r="CY34" i="4"/>
  <c r="CU34" i="4"/>
  <c r="CQ34" i="4"/>
  <c r="CM34" i="4"/>
  <c r="CI34" i="4"/>
  <c r="CE34" i="4"/>
  <c r="CA34" i="4"/>
  <c r="BW34" i="4"/>
  <c r="BS34" i="4"/>
  <c r="BO34" i="4"/>
  <c r="BK34" i="4"/>
  <c r="BG34" i="4"/>
  <c r="BC34" i="4"/>
  <c r="AY34" i="4"/>
  <c r="AU34" i="4"/>
  <c r="AQ34" i="4"/>
  <c r="AM34" i="4"/>
  <c r="AI34" i="4"/>
  <c r="AE34" i="4"/>
  <c r="AA34" i="4"/>
  <c r="W34" i="4"/>
  <c r="S34" i="4"/>
  <c r="O34" i="4"/>
  <c r="K34" i="4"/>
  <c r="H34" i="4"/>
  <c r="DK33" i="4"/>
  <c r="DG33" i="4"/>
  <c r="DC33" i="4"/>
  <c r="CY33" i="4"/>
  <c r="CU33" i="4"/>
  <c r="CQ33" i="4"/>
  <c r="CM33" i="4"/>
  <c r="CI33" i="4"/>
  <c r="CE33" i="4"/>
  <c r="CA33" i="4"/>
  <c r="BW33" i="4"/>
  <c r="BS33" i="4"/>
  <c r="BO33" i="4"/>
  <c r="BK33" i="4"/>
  <c r="BG33" i="4"/>
  <c r="BC33" i="4"/>
  <c r="AY33" i="4"/>
  <c r="AU33" i="4"/>
  <c r="AQ33" i="4"/>
  <c r="AM33" i="4"/>
  <c r="AI33" i="4"/>
  <c r="AE33" i="4"/>
  <c r="AA33" i="4"/>
  <c r="W33" i="4"/>
  <c r="S33" i="4"/>
  <c r="O33" i="4"/>
  <c r="K33" i="4"/>
  <c r="H33" i="4"/>
  <c r="DK32" i="4"/>
  <c r="DG32" i="4"/>
  <c r="DC32" i="4"/>
  <c r="CY32" i="4"/>
  <c r="CU32" i="4"/>
  <c r="CQ32" i="4"/>
  <c r="CM32" i="4"/>
  <c r="CI32" i="4"/>
  <c r="CE32" i="4"/>
  <c r="CA32" i="4"/>
  <c r="BW32" i="4"/>
  <c r="BS32" i="4"/>
  <c r="BO32" i="4"/>
  <c r="BK32" i="4"/>
  <c r="BG32" i="4"/>
  <c r="BC32" i="4"/>
  <c r="AY32" i="4"/>
  <c r="AU32" i="4"/>
  <c r="AQ32" i="4"/>
  <c r="AM32" i="4"/>
  <c r="AI32" i="4"/>
  <c r="AE32" i="4"/>
  <c r="AA32" i="4"/>
  <c r="W32" i="4"/>
  <c r="S32" i="4"/>
  <c r="O32" i="4"/>
  <c r="K32" i="4"/>
  <c r="H32" i="4"/>
  <c r="DK31" i="4"/>
  <c r="DG31" i="4"/>
  <c r="DC31" i="4"/>
  <c r="CY31" i="4"/>
  <c r="CU31" i="4"/>
  <c r="CQ31" i="4"/>
  <c r="CM31" i="4"/>
  <c r="CI31" i="4"/>
  <c r="CE31" i="4"/>
  <c r="CA31" i="4"/>
  <c r="BW31" i="4"/>
  <c r="BS31" i="4"/>
  <c r="BO31" i="4"/>
  <c r="BK31" i="4"/>
  <c r="BG31" i="4"/>
  <c r="BC31" i="4"/>
  <c r="AY31" i="4"/>
  <c r="AU31" i="4"/>
  <c r="AQ31" i="4"/>
  <c r="AM31" i="4"/>
  <c r="AI31" i="4"/>
  <c r="AE31" i="4"/>
  <c r="AA31" i="4"/>
  <c r="W31" i="4"/>
  <c r="S31" i="4"/>
  <c r="O31" i="4"/>
  <c r="K31" i="4"/>
  <c r="H31" i="4"/>
  <c r="DP31" i="4" s="1"/>
  <c r="DK30" i="4"/>
  <c r="DG30" i="4"/>
  <c r="DC30" i="4"/>
  <c r="CY30" i="4"/>
  <c r="CU30" i="4"/>
  <c r="CQ30" i="4"/>
  <c r="CM30" i="4"/>
  <c r="CI30" i="4"/>
  <c r="CE30" i="4"/>
  <c r="CA30" i="4"/>
  <c r="BW30" i="4"/>
  <c r="BS30" i="4"/>
  <c r="BO30" i="4"/>
  <c r="BK30" i="4"/>
  <c r="BG30" i="4"/>
  <c r="BC30" i="4"/>
  <c r="AY30" i="4"/>
  <c r="AU30" i="4"/>
  <c r="AQ30" i="4"/>
  <c r="AM30" i="4"/>
  <c r="AI30" i="4"/>
  <c r="AE30" i="4"/>
  <c r="AA30" i="4"/>
  <c r="W30" i="4"/>
  <c r="S30" i="4"/>
  <c r="O30" i="4"/>
  <c r="K30" i="4"/>
  <c r="H30" i="4"/>
  <c r="DK29" i="4"/>
  <c r="DG29" i="4"/>
  <c r="DC29" i="4"/>
  <c r="CY29" i="4"/>
  <c r="CU29" i="4"/>
  <c r="CQ29" i="4"/>
  <c r="CM29" i="4"/>
  <c r="CI29" i="4"/>
  <c r="CE29" i="4"/>
  <c r="CA29" i="4"/>
  <c r="BW29" i="4"/>
  <c r="BS29" i="4"/>
  <c r="BO29" i="4"/>
  <c r="BK29" i="4"/>
  <c r="BG29" i="4"/>
  <c r="BC29" i="4"/>
  <c r="AY29" i="4"/>
  <c r="AU29" i="4"/>
  <c r="AQ29" i="4"/>
  <c r="AM29" i="4"/>
  <c r="AI29" i="4"/>
  <c r="AE29" i="4"/>
  <c r="AA29" i="4"/>
  <c r="W29" i="4"/>
  <c r="S29" i="4"/>
  <c r="O29" i="4"/>
  <c r="K29" i="4"/>
  <c r="H29" i="4"/>
  <c r="DK28" i="4"/>
  <c r="DG28" i="4"/>
  <c r="DC28" i="4"/>
  <c r="CY28" i="4"/>
  <c r="CU28" i="4"/>
  <c r="CQ28" i="4"/>
  <c r="CM28" i="4"/>
  <c r="CI28" i="4"/>
  <c r="CE28" i="4"/>
  <c r="CA28" i="4"/>
  <c r="BW28" i="4"/>
  <c r="BS28" i="4"/>
  <c r="BO28" i="4"/>
  <c r="BK28" i="4"/>
  <c r="BG28" i="4"/>
  <c r="BC28" i="4"/>
  <c r="AY28" i="4"/>
  <c r="AU28" i="4"/>
  <c r="AQ28" i="4"/>
  <c r="AM28" i="4"/>
  <c r="AI28" i="4"/>
  <c r="AE28" i="4"/>
  <c r="AA28" i="4"/>
  <c r="W28" i="4"/>
  <c r="S28" i="4"/>
  <c r="O28" i="4"/>
  <c r="K28" i="4"/>
  <c r="H28" i="4"/>
  <c r="DK27" i="4"/>
  <c r="DG27" i="4"/>
  <c r="DC27" i="4"/>
  <c r="CY27" i="4"/>
  <c r="CU27" i="4"/>
  <c r="CQ27" i="4"/>
  <c r="CM27" i="4"/>
  <c r="CI27" i="4"/>
  <c r="CE27" i="4"/>
  <c r="CA27" i="4"/>
  <c r="BW27" i="4"/>
  <c r="BS27" i="4"/>
  <c r="BO27" i="4"/>
  <c r="BK27" i="4"/>
  <c r="BG27" i="4"/>
  <c r="BC27" i="4"/>
  <c r="AY27" i="4"/>
  <c r="AU27" i="4"/>
  <c r="AQ27" i="4"/>
  <c r="AM27" i="4"/>
  <c r="AI27" i="4"/>
  <c r="AE27" i="4"/>
  <c r="AA27" i="4"/>
  <c r="W27" i="4"/>
  <c r="S27" i="4"/>
  <c r="O27" i="4"/>
  <c r="K27" i="4"/>
  <c r="H27" i="4"/>
  <c r="DP27" i="4" s="1"/>
  <c r="DK26" i="4"/>
  <c r="DG26" i="4"/>
  <c r="DC26" i="4"/>
  <c r="CY26" i="4"/>
  <c r="CU26" i="4"/>
  <c r="CQ26" i="4"/>
  <c r="CM26" i="4"/>
  <c r="CI26" i="4"/>
  <c r="CE26" i="4"/>
  <c r="CA26" i="4"/>
  <c r="BW26" i="4"/>
  <c r="BS26" i="4"/>
  <c r="BO26" i="4"/>
  <c r="BK26" i="4"/>
  <c r="BG26" i="4"/>
  <c r="BC26" i="4"/>
  <c r="AY26" i="4"/>
  <c r="AU26" i="4"/>
  <c r="AQ26" i="4"/>
  <c r="AM26" i="4"/>
  <c r="AI26" i="4"/>
  <c r="AE26" i="4"/>
  <c r="AA26" i="4"/>
  <c r="W26" i="4"/>
  <c r="S26" i="4"/>
  <c r="O26" i="4"/>
  <c r="K26" i="4"/>
  <c r="H26" i="4"/>
  <c r="DK25" i="4"/>
  <c r="DG25" i="4"/>
  <c r="DC25" i="4"/>
  <c r="CY25" i="4"/>
  <c r="CU25" i="4"/>
  <c r="CQ25" i="4"/>
  <c r="CM25" i="4"/>
  <c r="CI25" i="4"/>
  <c r="CE25" i="4"/>
  <c r="CA25" i="4"/>
  <c r="BW25" i="4"/>
  <c r="BS25" i="4"/>
  <c r="BO25" i="4"/>
  <c r="BK25" i="4"/>
  <c r="BG25" i="4"/>
  <c r="BC25" i="4"/>
  <c r="AY25" i="4"/>
  <c r="AU25" i="4"/>
  <c r="AQ25" i="4"/>
  <c r="AM25" i="4"/>
  <c r="AI25" i="4"/>
  <c r="AE25" i="4"/>
  <c r="AA25" i="4"/>
  <c r="W25" i="4"/>
  <c r="S25" i="4"/>
  <c r="O25" i="4"/>
  <c r="K25" i="4"/>
  <c r="H25" i="4"/>
  <c r="DK24" i="4"/>
  <c r="DG24" i="4"/>
  <c r="DC24" i="4"/>
  <c r="CY24" i="4"/>
  <c r="CU24" i="4"/>
  <c r="CQ24" i="4"/>
  <c r="CM24" i="4"/>
  <c r="CI24" i="4"/>
  <c r="CE24" i="4"/>
  <c r="CA24" i="4"/>
  <c r="BW24" i="4"/>
  <c r="BS24" i="4"/>
  <c r="BO24" i="4"/>
  <c r="BK24" i="4"/>
  <c r="BG24" i="4"/>
  <c r="BC24" i="4"/>
  <c r="AY24" i="4"/>
  <c r="AU24" i="4"/>
  <c r="AQ24" i="4"/>
  <c r="AM24" i="4"/>
  <c r="AI24" i="4"/>
  <c r="AE24" i="4"/>
  <c r="AA24" i="4"/>
  <c r="W24" i="4"/>
  <c r="S24" i="4"/>
  <c r="O24" i="4"/>
  <c r="K24" i="4"/>
  <c r="H24" i="4"/>
  <c r="DK23" i="4"/>
  <c r="DG23" i="4"/>
  <c r="DC23" i="4"/>
  <c r="CY23" i="4"/>
  <c r="CU23" i="4"/>
  <c r="CQ23" i="4"/>
  <c r="CM23" i="4"/>
  <c r="CI23" i="4"/>
  <c r="CE23" i="4"/>
  <c r="CA23" i="4"/>
  <c r="BW23" i="4"/>
  <c r="BS23" i="4"/>
  <c r="BO23" i="4"/>
  <c r="BK23" i="4"/>
  <c r="BG23" i="4"/>
  <c r="BC23" i="4"/>
  <c r="AY23" i="4"/>
  <c r="AU23" i="4"/>
  <c r="AQ23" i="4"/>
  <c r="AM23" i="4"/>
  <c r="AI23" i="4"/>
  <c r="AE23" i="4"/>
  <c r="AA23" i="4"/>
  <c r="W23" i="4"/>
  <c r="S23" i="4"/>
  <c r="O23" i="4"/>
  <c r="K23" i="4"/>
  <c r="H23" i="4"/>
  <c r="DP23" i="4" s="1"/>
  <c r="DK22" i="4"/>
  <c r="DG22" i="4"/>
  <c r="DC22" i="4"/>
  <c r="CY22" i="4"/>
  <c r="CU22" i="4"/>
  <c r="CQ22" i="4"/>
  <c r="CM22" i="4"/>
  <c r="CI22" i="4"/>
  <c r="CE22" i="4"/>
  <c r="CA22" i="4"/>
  <c r="BW22" i="4"/>
  <c r="BS22" i="4"/>
  <c r="BO22" i="4"/>
  <c r="BK22" i="4"/>
  <c r="BG22" i="4"/>
  <c r="BC22" i="4"/>
  <c r="AY22" i="4"/>
  <c r="AU22" i="4"/>
  <c r="AQ22" i="4"/>
  <c r="AM22" i="4"/>
  <c r="AI22" i="4"/>
  <c r="AE22" i="4"/>
  <c r="AA22" i="4"/>
  <c r="W22" i="4"/>
  <c r="S22" i="4"/>
  <c r="O22" i="4"/>
  <c r="K22" i="4"/>
  <c r="H22" i="4"/>
  <c r="DK21" i="4"/>
  <c r="DG21" i="4"/>
  <c r="DC21" i="4"/>
  <c r="CY21" i="4"/>
  <c r="CU21" i="4"/>
  <c r="CQ21" i="4"/>
  <c r="CM21" i="4"/>
  <c r="CI21" i="4"/>
  <c r="CE21" i="4"/>
  <c r="CA21" i="4"/>
  <c r="BW21" i="4"/>
  <c r="BS21" i="4"/>
  <c r="BO21" i="4"/>
  <c r="BK21" i="4"/>
  <c r="BG21" i="4"/>
  <c r="BC21" i="4"/>
  <c r="AY21" i="4"/>
  <c r="AU21" i="4"/>
  <c r="AQ21" i="4"/>
  <c r="AM21" i="4"/>
  <c r="AI21" i="4"/>
  <c r="AE21" i="4"/>
  <c r="AA21" i="4"/>
  <c r="W21" i="4"/>
  <c r="S21" i="4"/>
  <c r="O21" i="4"/>
  <c r="K21" i="4"/>
  <c r="H21" i="4"/>
  <c r="DK20" i="4"/>
  <c r="DG20" i="4"/>
  <c r="DC20" i="4"/>
  <c r="CY20" i="4"/>
  <c r="CU20" i="4"/>
  <c r="CQ20" i="4"/>
  <c r="CM20" i="4"/>
  <c r="CI20" i="4"/>
  <c r="CE20" i="4"/>
  <c r="CA20" i="4"/>
  <c r="BW20" i="4"/>
  <c r="BS20" i="4"/>
  <c r="BO20" i="4"/>
  <c r="BK20" i="4"/>
  <c r="BG20" i="4"/>
  <c r="BC20" i="4"/>
  <c r="AY20" i="4"/>
  <c r="AU20" i="4"/>
  <c r="AQ20" i="4"/>
  <c r="AM20" i="4"/>
  <c r="AI20" i="4"/>
  <c r="AE20" i="4"/>
  <c r="AA20" i="4"/>
  <c r="W20" i="4"/>
  <c r="S20" i="4"/>
  <c r="O20" i="4"/>
  <c r="K20" i="4"/>
  <c r="H20" i="4"/>
  <c r="DK19" i="4"/>
  <c r="DG19" i="4"/>
  <c r="DC19" i="4"/>
  <c r="CY19" i="4"/>
  <c r="CU19" i="4"/>
  <c r="CQ19" i="4"/>
  <c r="CM19" i="4"/>
  <c r="CI19" i="4"/>
  <c r="CE19" i="4"/>
  <c r="CA19" i="4"/>
  <c r="BW19" i="4"/>
  <c r="BS19" i="4"/>
  <c r="BO19" i="4"/>
  <c r="BK19" i="4"/>
  <c r="BG19" i="4"/>
  <c r="BC19" i="4"/>
  <c r="AY19" i="4"/>
  <c r="AU19" i="4"/>
  <c r="AQ19" i="4"/>
  <c r="AM19" i="4"/>
  <c r="AI19" i="4"/>
  <c r="AE19" i="4"/>
  <c r="AA19" i="4"/>
  <c r="W19" i="4"/>
  <c r="S19" i="4"/>
  <c r="O19" i="4"/>
  <c r="K19" i="4"/>
  <c r="H19" i="4"/>
  <c r="DP19" i="4" s="1"/>
  <c r="DK18" i="4"/>
  <c r="DG18" i="4"/>
  <c r="DC18" i="4"/>
  <c r="CY18" i="4"/>
  <c r="CU18" i="4"/>
  <c r="CQ18" i="4"/>
  <c r="CM18" i="4"/>
  <c r="CI18" i="4"/>
  <c r="CE18" i="4"/>
  <c r="CA18" i="4"/>
  <c r="BW18" i="4"/>
  <c r="BS18" i="4"/>
  <c r="BO18" i="4"/>
  <c r="BK18" i="4"/>
  <c r="BG18" i="4"/>
  <c r="BC18" i="4"/>
  <c r="AY18" i="4"/>
  <c r="AU18" i="4"/>
  <c r="AQ18" i="4"/>
  <c r="AM18" i="4"/>
  <c r="AI18" i="4"/>
  <c r="AE18" i="4"/>
  <c r="AA18" i="4"/>
  <c r="W18" i="4"/>
  <c r="S18" i="4"/>
  <c r="O18" i="4"/>
  <c r="K18" i="4"/>
  <c r="H18" i="4"/>
  <c r="DK17" i="4"/>
  <c r="DG17" i="4"/>
  <c r="DC17" i="4"/>
  <c r="CY17" i="4"/>
  <c r="CU17" i="4"/>
  <c r="CQ17" i="4"/>
  <c r="CM17" i="4"/>
  <c r="CI17" i="4"/>
  <c r="CE17" i="4"/>
  <c r="CA17" i="4"/>
  <c r="BW17" i="4"/>
  <c r="BS17" i="4"/>
  <c r="BO17" i="4"/>
  <c r="BK17" i="4"/>
  <c r="BG17" i="4"/>
  <c r="BC17" i="4"/>
  <c r="AY17" i="4"/>
  <c r="AU17" i="4"/>
  <c r="AQ17" i="4"/>
  <c r="AM17" i="4"/>
  <c r="AI17" i="4"/>
  <c r="AE17" i="4"/>
  <c r="AA17" i="4"/>
  <c r="W17" i="4"/>
  <c r="S17" i="4"/>
  <c r="O17" i="4"/>
  <c r="K17" i="4"/>
  <c r="H17" i="4"/>
  <c r="DK16" i="4"/>
  <c r="DG16" i="4"/>
  <c r="DC16" i="4"/>
  <c r="CY16" i="4"/>
  <c r="CU16" i="4"/>
  <c r="CQ16" i="4"/>
  <c r="CM16" i="4"/>
  <c r="CI16" i="4"/>
  <c r="CE16" i="4"/>
  <c r="CA16" i="4"/>
  <c r="BW16" i="4"/>
  <c r="BS16" i="4"/>
  <c r="BO16" i="4"/>
  <c r="BK16" i="4"/>
  <c r="BG16" i="4"/>
  <c r="BC16" i="4"/>
  <c r="AY16" i="4"/>
  <c r="AU16" i="4"/>
  <c r="AQ16" i="4"/>
  <c r="AM16" i="4"/>
  <c r="AI16" i="4"/>
  <c r="AE16" i="4"/>
  <c r="AA16" i="4"/>
  <c r="W16" i="4"/>
  <c r="S16" i="4"/>
  <c r="O16" i="4"/>
  <c r="K16" i="4"/>
  <c r="H16" i="4"/>
  <c r="DK15" i="4"/>
  <c r="DG15" i="4"/>
  <c r="DC15" i="4"/>
  <c r="CY15" i="4"/>
  <c r="CU15" i="4"/>
  <c r="CQ15" i="4"/>
  <c r="CM15" i="4"/>
  <c r="CI15" i="4"/>
  <c r="CE15" i="4"/>
  <c r="CA15" i="4"/>
  <c r="BW15" i="4"/>
  <c r="BS15" i="4"/>
  <c r="BO15" i="4"/>
  <c r="BK15" i="4"/>
  <c r="BG15" i="4"/>
  <c r="BC15" i="4"/>
  <c r="AY15" i="4"/>
  <c r="AU15" i="4"/>
  <c r="AQ15" i="4"/>
  <c r="AM15" i="4"/>
  <c r="AI15" i="4"/>
  <c r="AE15" i="4"/>
  <c r="AA15" i="4"/>
  <c r="W15" i="4"/>
  <c r="S15" i="4"/>
  <c r="O15" i="4"/>
  <c r="K15" i="4"/>
  <c r="H15" i="4"/>
  <c r="DP15" i="4" s="1"/>
  <c r="DK14" i="4"/>
  <c r="DG14" i="4"/>
  <c r="DC14" i="4"/>
  <c r="CY14" i="4"/>
  <c r="CU14" i="4"/>
  <c r="CQ14" i="4"/>
  <c r="CM14" i="4"/>
  <c r="CI14" i="4"/>
  <c r="CE14" i="4"/>
  <c r="CA14" i="4"/>
  <c r="BW14" i="4"/>
  <c r="BS14" i="4"/>
  <c r="BO14" i="4"/>
  <c r="BK14" i="4"/>
  <c r="BG14" i="4"/>
  <c r="BC14" i="4"/>
  <c r="AY14" i="4"/>
  <c r="AU14" i="4"/>
  <c r="AQ14" i="4"/>
  <c r="AM14" i="4"/>
  <c r="AI14" i="4"/>
  <c r="AE14" i="4"/>
  <c r="AA14" i="4"/>
  <c r="W14" i="4"/>
  <c r="S14" i="4"/>
  <c r="O14" i="4"/>
  <c r="K14" i="4"/>
  <c r="H14" i="4"/>
  <c r="DK13" i="4"/>
  <c r="DG13" i="4"/>
  <c r="DC13" i="4"/>
  <c r="CY13" i="4"/>
  <c r="CU13" i="4"/>
  <c r="CQ13" i="4"/>
  <c r="CM13" i="4"/>
  <c r="CI13" i="4"/>
  <c r="CE13" i="4"/>
  <c r="CA13" i="4"/>
  <c r="BW13" i="4"/>
  <c r="BS13" i="4"/>
  <c r="BO13" i="4"/>
  <c r="BK13" i="4"/>
  <c r="BG13" i="4"/>
  <c r="BC13" i="4"/>
  <c r="AY13" i="4"/>
  <c r="AU13" i="4"/>
  <c r="AQ13" i="4"/>
  <c r="AM13" i="4"/>
  <c r="AI13" i="4"/>
  <c r="AE13" i="4"/>
  <c r="AA13" i="4"/>
  <c r="W13" i="4"/>
  <c r="S13" i="4"/>
  <c r="O13" i="4"/>
  <c r="K13" i="4"/>
  <c r="H13" i="4"/>
  <c r="DK12" i="4"/>
  <c r="DG12" i="4"/>
  <c r="DC12" i="4"/>
  <c r="CY12" i="4"/>
  <c r="CU12" i="4"/>
  <c r="CQ12" i="4"/>
  <c r="CM12" i="4"/>
  <c r="CI12" i="4"/>
  <c r="CE12" i="4"/>
  <c r="CA12" i="4"/>
  <c r="BW12" i="4"/>
  <c r="BS12" i="4"/>
  <c r="BO12" i="4"/>
  <c r="BK12" i="4"/>
  <c r="BG12" i="4"/>
  <c r="BC12" i="4"/>
  <c r="AY12" i="4"/>
  <c r="AU12" i="4"/>
  <c r="AQ12" i="4"/>
  <c r="AM12" i="4"/>
  <c r="AI12" i="4"/>
  <c r="AE12" i="4"/>
  <c r="AA12" i="4"/>
  <c r="W12" i="4"/>
  <c r="S12" i="4"/>
  <c r="O12" i="4"/>
  <c r="K12" i="4"/>
  <c r="H12" i="4"/>
  <c r="DK11" i="4"/>
  <c r="DG11" i="4"/>
  <c r="DC11" i="4"/>
  <c r="CY11" i="4"/>
  <c r="CU11" i="4"/>
  <c r="CQ11" i="4"/>
  <c r="CM11" i="4"/>
  <c r="CI11" i="4"/>
  <c r="CE11" i="4"/>
  <c r="CA11" i="4"/>
  <c r="BW11" i="4"/>
  <c r="BS11" i="4"/>
  <c r="BO11" i="4"/>
  <c r="BK11" i="4"/>
  <c r="BG11" i="4"/>
  <c r="BC11" i="4"/>
  <c r="AY11" i="4"/>
  <c r="AU11" i="4"/>
  <c r="AQ11" i="4"/>
  <c r="AM11" i="4"/>
  <c r="AI11" i="4"/>
  <c r="AE11" i="4"/>
  <c r="AA11" i="4"/>
  <c r="W11" i="4"/>
  <c r="S11" i="4"/>
  <c r="O11" i="4"/>
  <c r="K11" i="4"/>
  <c r="H11" i="4"/>
  <c r="DP11" i="4" s="1"/>
  <c r="DK10" i="4"/>
  <c r="DG10" i="4"/>
  <c r="DC10" i="4"/>
  <c r="CY10" i="4"/>
  <c r="CU10" i="4"/>
  <c r="CQ10" i="4"/>
  <c r="CM10" i="4"/>
  <c r="CI10" i="4"/>
  <c r="CE10" i="4"/>
  <c r="CA10" i="4"/>
  <c r="BW10" i="4"/>
  <c r="BS10" i="4"/>
  <c r="BO10" i="4"/>
  <c r="BK10" i="4"/>
  <c r="BG10" i="4"/>
  <c r="BC10" i="4"/>
  <c r="AY10" i="4"/>
  <c r="AU10" i="4"/>
  <c r="AQ10" i="4"/>
  <c r="AM10" i="4"/>
  <c r="AI10" i="4"/>
  <c r="AE10" i="4"/>
  <c r="AA10" i="4"/>
  <c r="W10" i="4"/>
  <c r="S10" i="4"/>
  <c r="O10" i="4"/>
  <c r="K10" i="4"/>
  <c r="H10" i="4"/>
  <c r="DK9" i="4"/>
  <c r="DG9" i="4"/>
  <c r="DC9" i="4"/>
  <c r="CY9" i="4"/>
  <c r="CU9" i="4"/>
  <c r="CQ9" i="4"/>
  <c r="CM9" i="4"/>
  <c r="CI9" i="4"/>
  <c r="CE9" i="4"/>
  <c r="CA9" i="4"/>
  <c r="BW9" i="4"/>
  <c r="BS9" i="4"/>
  <c r="BO9" i="4"/>
  <c r="BK9" i="4"/>
  <c r="BG9" i="4"/>
  <c r="BC9" i="4"/>
  <c r="AY9" i="4"/>
  <c r="AU9" i="4"/>
  <c r="AQ9" i="4"/>
  <c r="AM9" i="4"/>
  <c r="AI9" i="4"/>
  <c r="AE9" i="4"/>
  <c r="AA9" i="4"/>
  <c r="W9" i="4"/>
  <c r="S9" i="4"/>
  <c r="O9" i="4"/>
  <c r="K9" i="4"/>
  <c r="H9" i="4"/>
  <c r="DK8" i="4"/>
  <c r="DG8" i="4"/>
  <c r="DC8" i="4"/>
  <c r="CY8" i="4"/>
  <c r="CU8" i="4"/>
  <c r="CQ8" i="4"/>
  <c r="CM8" i="4"/>
  <c r="CI8" i="4"/>
  <c r="CE8" i="4"/>
  <c r="CA8" i="4"/>
  <c r="BW8" i="4"/>
  <c r="BS8" i="4"/>
  <c r="BO8" i="4"/>
  <c r="BK8" i="4"/>
  <c r="BG8" i="4"/>
  <c r="BC8" i="4"/>
  <c r="AY8" i="4"/>
  <c r="AU8" i="4"/>
  <c r="AQ8" i="4"/>
  <c r="AM8" i="4"/>
  <c r="AI8" i="4"/>
  <c r="AE8" i="4"/>
  <c r="AA8" i="4"/>
  <c r="W8" i="4"/>
  <c r="S8" i="4"/>
  <c r="O8" i="4"/>
  <c r="K8" i="4"/>
  <c r="H8" i="4"/>
  <c r="DK7" i="4"/>
  <c r="DG7" i="4"/>
  <c r="DC7" i="4"/>
  <c r="CY7" i="4"/>
  <c r="CU7" i="4"/>
  <c r="CQ7" i="4"/>
  <c r="CM7" i="4"/>
  <c r="CI7" i="4"/>
  <c r="CE7" i="4"/>
  <c r="CA7" i="4"/>
  <c r="BW7" i="4"/>
  <c r="BS7" i="4"/>
  <c r="BO7" i="4"/>
  <c r="BK7" i="4"/>
  <c r="BG7" i="4"/>
  <c r="BC7" i="4"/>
  <c r="AY7" i="4"/>
  <c r="AU7" i="4"/>
  <c r="AQ7" i="4"/>
  <c r="AM7" i="4"/>
  <c r="AI7" i="4"/>
  <c r="AE7" i="4"/>
  <c r="AA7" i="4"/>
  <c r="W7" i="4"/>
  <c r="S7" i="4"/>
  <c r="O7" i="4"/>
  <c r="K7" i="4"/>
  <c r="H7" i="4"/>
  <c r="DP7" i="4" s="1"/>
  <c r="DK6" i="4"/>
  <c r="DG6" i="4"/>
  <c r="DC6" i="4"/>
  <c r="CY6" i="4"/>
  <c r="CU6" i="4"/>
  <c r="CQ6" i="4"/>
  <c r="CM6" i="4"/>
  <c r="CI6" i="4"/>
  <c r="CE6" i="4"/>
  <c r="CA6" i="4"/>
  <c r="BW6" i="4"/>
  <c r="BS6" i="4"/>
  <c r="BO6" i="4"/>
  <c r="BK6" i="4"/>
  <c r="BG6" i="4"/>
  <c r="BC6" i="4"/>
  <c r="AY6" i="4"/>
  <c r="AU6" i="4"/>
  <c r="AQ6" i="4"/>
  <c r="AM6" i="4"/>
  <c r="AI6" i="4"/>
  <c r="AE6" i="4"/>
  <c r="AA6" i="4"/>
  <c r="W6" i="4"/>
  <c r="S6" i="4"/>
  <c r="O6" i="4"/>
  <c r="K6" i="4"/>
  <c r="H6" i="4"/>
  <c r="DK5" i="4"/>
  <c r="DG5" i="4"/>
  <c r="DC5" i="4"/>
  <c r="CY5" i="4"/>
  <c r="CU5" i="4"/>
  <c r="CQ5" i="4"/>
  <c r="CM5" i="4"/>
  <c r="CI5" i="4"/>
  <c r="CE5" i="4"/>
  <c r="CA5" i="4"/>
  <c r="BW5" i="4"/>
  <c r="BS5" i="4"/>
  <c r="BO5" i="4"/>
  <c r="BK5" i="4"/>
  <c r="BG5" i="4"/>
  <c r="BC5" i="4"/>
  <c r="AY5" i="4"/>
  <c r="AU5" i="4"/>
  <c r="AQ5" i="4"/>
  <c r="AM5" i="4"/>
  <c r="AI5" i="4"/>
  <c r="AE5" i="4"/>
  <c r="AA5" i="4"/>
  <c r="W5" i="4"/>
  <c r="S5" i="4"/>
  <c r="O5" i="4"/>
  <c r="K5" i="4"/>
  <c r="H5" i="4"/>
  <c r="DK4" i="4"/>
  <c r="DG4" i="4"/>
  <c r="DC4" i="4"/>
  <c r="CY4" i="4"/>
  <c r="CU4" i="4"/>
  <c r="CQ4" i="4"/>
  <c r="CM4" i="4"/>
  <c r="CI4" i="4"/>
  <c r="CE4" i="4"/>
  <c r="CA4" i="4"/>
  <c r="BW4" i="4"/>
  <c r="BS4" i="4"/>
  <c r="BO4" i="4"/>
  <c r="BK4" i="4"/>
  <c r="BG4" i="4"/>
  <c r="BC4" i="4"/>
  <c r="AY4" i="4"/>
  <c r="AU4" i="4"/>
  <c r="AQ4" i="4"/>
  <c r="AM4" i="4"/>
  <c r="AI4" i="4"/>
  <c r="AE4" i="4"/>
  <c r="AA4" i="4"/>
  <c r="W4" i="4"/>
  <c r="S4" i="4"/>
  <c r="O4" i="4"/>
  <c r="K4" i="4"/>
  <c r="H4" i="4"/>
  <c r="K10" i="2"/>
  <c r="K9" i="2"/>
  <c r="K8" i="2"/>
  <c r="K7" i="2"/>
  <c r="K6" i="2"/>
  <c r="K5" i="2"/>
  <c r="K4" i="2"/>
  <c r="I8" i="1"/>
  <c r="I7" i="1"/>
  <c r="I6" i="1"/>
  <c r="I5" i="1"/>
  <c r="I4" i="1"/>
  <c r="I3" i="1"/>
  <c r="I2" i="1"/>
  <c r="DP5" i="4" l="1"/>
  <c r="DP9" i="4"/>
  <c r="DP13" i="4"/>
  <c r="DP17" i="4"/>
  <c r="DP21" i="4"/>
  <c r="DP25" i="4"/>
  <c r="DP29" i="4"/>
  <c r="DP33" i="4"/>
  <c r="DP37" i="4"/>
  <c r="DP41" i="4"/>
  <c r="DP45" i="4"/>
  <c r="DP49" i="4"/>
  <c r="DP53" i="4"/>
  <c r="DP57" i="4"/>
  <c r="DP61" i="4"/>
  <c r="DP65" i="4"/>
  <c r="DP69" i="4"/>
  <c r="DP73" i="4"/>
  <c r="DO7" i="7"/>
  <c r="DP7" i="7" s="1"/>
  <c r="DO15" i="7"/>
  <c r="DP15" i="7" s="1"/>
  <c r="DO19" i="7"/>
  <c r="DP19" i="7" s="1"/>
  <c r="DO23" i="7"/>
  <c r="DO31" i="7"/>
  <c r="DO35" i="7"/>
  <c r="DP35" i="7" s="1"/>
  <c r="DO39" i="7"/>
  <c r="DP39" i="7" s="1"/>
  <c r="DO47" i="7"/>
  <c r="DP47" i="7" s="1"/>
  <c r="DO51" i="7"/>
  <c r="DP51" i="7" s="1"/>
  <c r="DO55" i="7"/>
  <c r="DP55" i="7" s="1"/>
  <c r="S47" i="7"/>
  <c r="AQ47" i="7"/>
  <c r="AR47" i="7" s="1"/>
  <c r="BO47" i="7"/>
  <c r="BP47" i="7" s="1"/>
  <c r="CM47" i="7"/>
  <c r="CN47" i="7" s="1"/>
  <c r="DO63" i="7"/>
  <c r="DP63" i="7" s="1"/>
  <c r="DP23" i="7"/>
  <c r="DP31" i="7"/>
  <c r="DO27" i="7"/>
  <c r="DP27" i="7" s="1"/>
  <c r="DO59" i="7"/>
  <c r="DP59" i="7" s="1"/>
  <c r="DO67" i="7"/>
  <c r="DP67" i="7" s="1"/>
  <c r="DO11" i="7"/>
  <c r="DP11" i="7" s="1"/>
  <c r="DO43" i="7"/>
  <c r="DP43" i="7" s="1"/>
  <c r="DH52" i="6"/>
  <c r="E29" i="1" s="1"/>
  <c r="E66" i="7"/>
  <c r="DI52" i="6"/>
  <c r="F29" i="1" s="1"/>
  <c r="AB30" i="4"/>
  <c r="AB63" i="4"/>
  <c r="BH65" i="4"/>
  <c r="AR71" i="4"/>
  <c r="AE67" i="7"/>
  <c r="AF67" i="7" s="1"/>
  <c r="CA67" i="7"/>
  <c r="CQ67" i="7"/>
  <c r="CR67" i="7" s="1"/>
  <c r="CY67" i="7"/>
  <c r="CZ67" i="7" s="1"/>
  <c r="DH11" i="4"/>
  <c r="BL47" i="4"/>
  <c r="CR60" i="4"/>
  <c r="H52" i="6"/>
  <c r="E3" i="1" s="1"/>
  <c r="X52" i="6"/>
  <c r="E7" i="1" s="1"/>
  <c r="AF52" i="6"/>
  <c r="E9" i="1" s="1"/>
  <c r="AN52" i="6"/>
  <c r="E11" i="1" s="1"/>
  <c r="AV52" i="6"/>
  <c r="E13" i="1" s="1"/>
  <c r="BD52" i="6"/>
  <c r="E15" i="1" s="1"/>
  <c r="BL52" i="6"/>
  <c r="E17" i="1" s="1"/>
  <c r="BT52" i="6"/>
  <c r="E19" i="1" s="1"/>
  <c r="CB52" i="6"/>
  <c r="E21" i="1" s="1"/>
  <c r="CJ52" i="6"/>
  <c r="E23" i="1" s="1"/>
  <c r="CR52" i="6"/>
  <c r="E25" i="1" s="1"/>
  <c r="T51" i="4"/>
  <c r="T71" i="4"/>
  <c r="DP4" i="4"/>
  <c r="DP8" i="4"/>
  <c r="DP12" i="4"/>
  <c r="DP16" i="4"/>
  <c r="DP20" i="4"/>
  <c r="DP24" i="4"/>
  <c r="DP28" i="4"/>
  <c r="DP32" i="4"/>
  <c r="DP36" i="4"/>
  <c r="DP40" i="4"/>
  <c r="DP44" i="4"/>
  <c r="DP48" i="4"/>
  <c r="DP52" i="4"/>
  <c r="DP56" i="4"/>
  <c r="DP60" i="4"/>
  <c r="DP64" i="4"/>
  <c r="DP68" i="4"/>
  <c r="DP72" i="4"/>
  <c r="CZ52" i="6"/>
  <c r="E27" i="1" s="1"/>
  <c r="BP20" i="4"/>
  <c r="CV27" i="4"/>
  <c r="DL27" i="4"/>
  <c r="T30" i="4"/>
  <c r="AZ30" i="4"/>
  <c r="CV30" i="4"/>
  <c r="AJ47" i="4"/>
  <c r="BP48" i="4"/>
  <c r="AZ51" i="4"/>
  <c r="BP51" i="4"/>
  <c r="DL51" i="4"/>
  <c r="AZ60" i="4"/>
  <c r="DL71" i="4"/>
  <c r="I52" i="6"/>
  <c r="F3" i="1" s="1"/>
  <c r="Q52" i="6"/>
  <c r="F5" i="1" s="1"/>
  <c r="Y52" i="6"/>
  <c r="F7" i="1" s="1"/>
  <c r="AG52" i="6"/>
  <c r="F9" i="1" s="1"/>
  <c r="AO52" i="6"/>
  <c r="F11" i="1" s="1"/>
  <c r="DP6" i="4"/>
  <c r="DP10" i="4"/>
  <c r="DP14" i="4"/>
  <c r="DP18" i="4"/>
  <c r="DP22" i="4"/>
  <c r="DP26" i="4"/>
  <c r="DP30" i="4"/>
  <c r="DP34" i="4"/>
  <c r="DP38" i="4"/>
  <c r="DP42" i="4"/>
  <c r="DP46" i="4"/>
  <c r="DP50" i="4"/>
  <c r="DP54" i="4"/>
  <c r="DP58" i="4"/>
  <c r="DP62" i="4"/>
  <c r="DP66" i="4"/>
  <c r="DP70" i="4"/>
  <c r="DP74" i="4"/>
  <c r="AE47" i="7"/>
  <c r="AF47" i="7" s="1"/>
  <c r="BC47" i="7"/>
  <c r="BD47" i="7" s="1"/>
  <c r="CA47" i="7"/>
  <c r="AW52" i="6"/>
  <c r="F13" i="1" s="1"/>
  <c r="BE52" i="6"/>
  <c r="F15" i="1" s="1"/>
  <c r="BM52" i="6"/>
  <c r="F17" i="1" s="1"/>
  <c r="BU52" i="6"/>
  <c r="F19" i="1" s="1"/>
  <c r="CC52" i="6"/>
  <c r="F21" i="1" s="1"/>
  <c r="CK52" i="6"/>
  <c r="F23" i="1" s="1"/>
  <c r="CS52" i="6"/>
  <c r="F25" i="1" s="1"/>
  <c r="DA52" i="6"/>
  <c r="F27" i="1" s="1"/>
  <c r="AQ67" i="7"/>
  <c r="AR67" i="7" s="1"/>
  <c r="BO67" i="7"/>
  <c r="BP67" i="7" s="1"/>
  <c r="CE67" i="7"/>
  <c r="CF67" i="7" s="1"/>
  <c r="DK67" i="7"/>
  <c r="DD44" i="4"/>
  <c r="AR51" i="4"/>
  <c r="BX51" i="4"/>
  <c r="E52" i="6"/>
  <c r="F2" i="1" s="1"/>
  <c r="M52" i="6"/>
  <c r="F4" i="1" s="1"/>
  <c r="U52" i="6"/>
  <c r="F6" i="1" s="1"/>
  <c r="AC52" i="6"/>
  <c r="F8" i="1" s="1"/>
  <c r="AK52" i="6"/>
  <c r="F10" i="1" s="1"/>
  <c r="AS52" i="6"/>
  <c r="F12" i="1" s="1"/>
  <c r="BA52" i="6"/>
  <c r="F14" i="1" s="1"/>
  <c r="BQ52" i="6"/>
  <c r="F18" i="1" s="1"/>
  <c r="BY52" i="6"/>
  <c r="F20" i="1" s="1"/>
  <c r="CG52" i="6"/>
  <c r="F22" i="1" s="1"/>
  <c r="CO52" i="6"/>
  <c r="F24" i="1" s="1"/>
  <c r="DE52" i="6"/>
  <c r="CJ11" i="4"/>
  <c r="AF23" i="4"/>
  <c r="AF26" i="4"/>
  <c r="AN47" i="4"/>
  <c r="X63" i="4"/>
  <c r="BT63" i="4"/>
  <c r="CB75" i="4"/>
  <c r="D52" i="6"/>
  <c r="E2" i="1" s="1"/>
  <c r="L52" i="6"/>
  <c r="E4" i="1" s="1"/>
  <c r="T52" i="6"/>
  <c r="E6" i="1" s="1"/>
  <c r="AB52" i="6"/>
  <c r="E8" i="1" s="1"/>
  <c r="AJ52" i="6"/>
  <c r="E10" i="1" s="1"/>
  <c r="AR52" i="6"/>
  <c r="E12" i="1" s="1"/>
  <c r="AZ52" i="6"/>
  <c r="E14" i="1" s="1"/>
  <c r="BH52" i="6"/>
  <c r="E16" i="1" s="1"/>
  <c r="BP52" i="6"/>
  <c r="E18" i="1" s="1"/>
  <c r="BX52" i="6"/>
  <c r="E20" i="1" s="1"/>
  <c r="CF52" i="6"/>
  <c r="E22" i="1" s="1"/>
  <c r="CN52" i="6"/>
  <c r="E24" i="1" s="1"/>
  <c r="CV52" i="6"/>
  <c r="E26" i="1" s="1"/>
  <c r="DD52" i="6"/>
  <c r="E13" i="7"/>
  <c r="O15" i="7"/>
  <c r="AM15" i="7"/>
  <c r="AN15" i="7" s="1"/>
  <c r="CY47" i="7"/>
  <c r="CM43" i="7"/>
  <c r="CN43" i="7" s="1"/>
  <c r="O51" i="7"/>
  <c r="AA51" i="7"/>
  <c r="AB51" i="7" s="1"/>
  <c r="AY51" i="7"/>
  <c r="AZ51" i="7" s="1"/>
  <c r="CU51" i="7"/>
  <c r="CV51" i="7" s="1"/>
  <c r="K59" i="7"/>
  <c r="L59" i="7" s="1"/>
  <c r="BI52" i="6"/>
  <c r="F16" i="1" s="1"/>
  <c r="CV10" i="4"/>
  <c r="DK47" i="7"/>
  <c r="DL47" i="7" s="1"/>
  <c r="AJ30" i="4"/>
  <c r="AB44" i="4"/>
  <c r="CV47" i="4"/>
  <c r="AU11" i="7"/>
  <c r="AV11" i="7" s="1"/>
  <c r="BO15" i="7"/>
  <c r="K19" i="7"/>
  <c r="L19" i="7" s="1"/>
  <c r="AJ19" i="4"/>
  <c r="BW15" i="7"/>
  <c r="BX15" i="7" s="1"/>
  <c r="AE11" i="7"/>
  <c r="AU15" i="7"/>
  <c r="AV15" i="7" s="1"/>
  <c r="CE15" i="7"/>
  <c r="O19" i="7"/>
  <c r="P19" i="7" s="1"/>
  <c r="CU19" i="7"/>
  <c r="CV19" i="7" s="1"/>
  <c r="AE23" i="7"/>
  <c r="AF23" i="7" s="1"/>
  <c r="AQ23" i="7"/>
  <c r="CA23" i="7"/>
  <c r="CB23" i="7" s="1"/>
  <c r="CM23" i="7"/>
  <c r="CN23" i="7" s="1"/>
  <c r="CY23" i="7"/>
  <c r="CZ23" i="7" s="1"/>
  <c r="BW31" i="7"/>
  <c r="CI31" i="7"/>
  <c r="CJ31" i="7" s="1"/>
  <c r="DG31" i="7"/>
  <c r="DH31" i="7" s="1"/>
  <c r="S35" i="7"/>
  <c r="T35" i="7" s="1"/>
  <c r="BC35" i="7"/>
  <c r="BO35" i="7"/>
  <c r="BP35" i="7" s="1"/>
  <c r="CA35" i="7"/>
  <c r="CB35" i="7" s="1"/>
  <c r="CM35" i="7"/>
  <c r="CN35" i="7" s="1"/>
  <c r="CY35" i="7"/>
  <c r="W39" i="7"/>
  <c r="X39" i="7" s="1"/>
  <c r="AU39" i="7"/>
  <c r="AV39" i="7" s="1"/>
  <c r="BG39" i="7"/>
  <c r="BH39" i="7" s="1"/>
  <c r="BS39" i="7"/>
  <c r="BT39" i="7" s="1"/>
  <c r="CQ39" i="7"/>
  <c r="CR39" i="7" s="1"/>
  <c r="O43" i="7"/>
  <c r="P43" i="7" s="1"/>
  <c r="AM43" i="7"/>
  <c r="AN43" i="7" s="1"/>
  <c r="AY43" i="7"/>
  <c r="AZ43" i="7" s="1"/>
  <c r="BK43" i="7"/>
  <c r="BL43" i="7" s="1"/>
  <c r="DG43" i="7"/>
  <c r="AN10" i="4"/>
  <c r="CJ10" i="4"/>
  <c r="DH10" i="4"/>
  <c r="BT20" i="4"/>
  <c r="X32" i="4"/>
  <c r="AV44" i="4"/>
  <c r="BT44" i="4"/>
  <c r="X74" i="4"/>
  <c r="BT74" i="4"/>
  <c r="DC11" i="7"/>
  <c r="DD11" i="7" s="1"/>
  <c r="BC19" i="7"/>
  <c r="BD19" i="7" s="1"/>
  <c r="CF5" i="4"/>
  <c r="AV22" i="4"/>
  <c r="P52" i="6"/>
  <c r="E5" i="1" s="1"/>
  <c r="T4" i="4"/>
  <c r="DL4" i="4"/>
  <c r="CV33" i="4"/>
  <c r="AV35" i="4"/>
  <c r="T39" i="4"/>
  <c r="BT47" i="4"/>
  <c r="P70" i="4"/>
  <c r="AN70" i="4"/>
  <c r="DH70" i="4"/>
  <c r="CJ73" i="4"/>
  <c r="CR74" i="4"/>
  <c r="BO7" i="7"/>
  <c r="CA7" i="7"/>
  <c r="CB7" i="7" s="1"/>
  <c r="AJ58" i="4"/>
  <c r="L70" i="4"/>
  <c r="AV10" i="4"/>
  <c r="DL58" i="4"/>
  <c r="T70" i="4"/>
  <c r="CN70" i="4"/>
  <c r="CF70" i="4"/>
  <c r="BT4" i="4"/>
  <c r="X10" i="4"/>
  <c r="AB4" i="4"/>
  <c r="AZ4" i="4"/>
  <c r="L11" i="4"/>
  <c r="CF11" i="4"/>
  <c r="L20" i="4"/>
  <c r="CF20" i="4"/>
  <c r="CB29" i="4"/>
  <c r="P30" i="4"/>
  <c r="T41" i="4"/>
  <c r="AV43" i="4"/>
  <c r="DH51" i="4"/>
  <c r="X55" i="4"/>
  <c r="X58" i="4"/>
  <c r="AN69" i="4"/>
  <c r="X70" i="4"/>
  <c r="CQ59" i="7"/>
  <c r="DC59" i="7"/>
  <c r="DD59" i="7" s="1"/>
  <c r="BH70" i="4"/>
  <c r="CW52" i="6"/>
  <c r="F26" i="1" s="1"/>
  <c r="X12" i="4"/>
  <c r="AV12" i="4"/>
  <c r="BT12" i="4"/>
  <c r="CR12" i="4"/>
  <c r="DD13" i="4"/>
  <c r="X15" i="4"/>
  <c r="AV15" i="4"/>
  <c r="AB43" i="4"/>
  <c r="AB49" i="4"/>
  <c r="AB52" i="4"/>
  <c r="CV55" i="4"/>
  <c r="AZ70" i="4"/>
  <c r="BD33" i="4"/>
  <c r="BC51" i="7"/>
  <c r="BD51" i="7" s="1"/>
  <c r="BO51" i="7"/>
  <c r="CM51" i="7"/>
  <c r="CN51" i="7" s="1"/>
  <c r="AJ29" i="4"/>
  <c r="AJ8" i="4"/>
  <c r="BH8" i="4"/>
  <c r="DD8" i="4"/>
  <c r="DL11" i="4"/>
  <c r="BH19" i="4"/>
  <c r="DD19" i="4"/>
  <c r="L22" i="4"/>
  <c r="CR25" i="4"/>
  <c r="CZ41" i="4"/>
  <c r="DC51" i="7"/>
  <c r="O55" i="7"/>
  <c r="P55" i="7" s="1"/>
  <c r="AA55" i="7"/>
  <c r="AB55" i="7" s="1"/>
  <c r="AM55" i="7"/>
  <c r="AN55" i="7" s="1"/>
  <c r="AY55" i="7"/>
  <c r="BK55" i="7"/>
  <c r="BL55" i="7" s="1"/>
  <c r="BW55" i="7"/>
  <c r="BX55" i="7" s="1"/>
  <c r="CI55" i="7"/>
  <c r="CJ55" i="7" s="1"/>
  <c r="CU55" i="7"/>
  <c r="DG55" i="7"/>
  <c r="DH55" i="7" s="1"/>
  <c r="CY59" i="7"/>
  <c r="CZ59" i="7" s="1"/>
  <c r="DK59" i="7"/>
  <c r="DL59" i="7" s="1"/>
  <c r="E60" i="7"/>
  <c r="E62" i="7"/>
  <c r="K63" i="7"/>
  <c r="L63" i="7" s="1"/>
  <c r="W63" i="7"/>
  <c r="X63" i="7" s="1"/>
  <c r="AI63" i="7"/>
  <c r="AJ63" i="7" s="1"/>
  <c r="AU63" i="7"/>
  <c r="AV63" i="7" s="1"/>
  <c r="BG63" i="7"/>
  <c r="BH63" i="7" s="1"/>
  <c r="BS63" i="7"/>
  <c r="BT63" i="7" s="1"/>
  <c r="CE63" i="7"/>
  <c r="CQ63" i="7"/>
  <c r="CR63" i="7" s="1"/>
  <c r="DC63" i="7"/>
  <c r="BW67" i="7"/>
  <c r="BX67" i="7" s="1"/>
  <c r="CU67" i="7"/>
  <c r="CV67" i="7" s="1"/>
  <c r="DG67" i="7"/>
  <c r="DH67" i="7" s="1"/>
  <c r="CB4" i="4"/>
  <c r="BL19" i="4"/>
  <c r="CF25" i="4"/>
  <c r="AJ32" i="4"/>
  <c r="BH32" i="4"/>
  <c r="AJ44" i="4"/>
  <c r="CV51" i="4"/>
  <c r="L52" i="4"/>
  <c r="BH52" i="4"/>
  <c r="L55" i="4"/>
  <c r="AJ55" i="4"/>
  <c r="BT61" i="4"/>
  <c r="CF65" i="4"/>
  <c r="AR66" i="4"/>
  <c r="CN66" i="4"/>
  <c r="DL66" i="4"/>
  <c r="AJ68" i="4"/>
  <c r="T69" i="4"/>
  <c r="BL69" i="4"/>
  <c r="CJ69" i="4"/>
  <c r="DH69" i="4"/>
  <c r="BD71" i="4"/>
  <c r="BH4" i="4"/>
  <c r="AJ11" i="4"/>
  <c r="BT13" i="4"/>
  <c r="DL14" i="4"/>
  <c r="BL15" i="4"/>
  <c r="CJ15" i="4"/>
  <c r="BT16" i="4"/>
  <c r="CZ17" i="4"/>
  <c r="X19" i="4"/>
  <c r="T24" i="4"/>
  <c r="BD27" i="4"/>
  <c r="AB37" i="4"/>
  <c r="CJ40" i="4"/>
  <c r="CR43" i="4"/>
  <c r="CJ44" i="4"/>
  <c r="L47" i="4"/>
  <c r="BH48" i="4"/>
  <c r="BH51" i="4"/>
  <c r="CB51" i="4"/>
  <c r="X56" i="4"/>
  <c r="CR56" i="4"/>
  <c r="DH57" i="4"/>
  <c r="P58" i="4"/>
  <c r="BH58" i="4"/>
  <c r="BH64" i="4"/>
  <c r="CF64" i="4"/>
  <c r="AR65" i="4"/>
  <c r="CJ67" i="4"/>
  <c r="AE31" i="7"/>
  <c r="CQ35" i="7"/>
  <c r="CR35" i="7" s="1"/>
  <c r="DH4" i="4"/>
  <c r="X5" i="4"/>
  <c r="AV5" i="4"/>
  <c r="BT5" i="4"/>
  <c r="P10" i="4"/>
  <c r="BH10" i="4"/>
  <c r="P11" i="4"/>
  <c r="AN11" i="4"/>
  <c r="DD11" i="4"/>
  <c r="AB13" i="4"/>
  <c r="T15" i="4"/>
  <c r="AR15" i="4"/>
  <c r="BP15" i="4"/>
  <c r="CN15" i="4"/>
  <c r="DL15" i="4"/>
  <c r="L17" i="4"/>
  <c r="BD30" i="4"/>
  <c r="CB30" i="4"/>
  <c r="L31" i="4"/>
  <c r="AR32" i="4"/>
  <c r="BH34" i="4"/>
  <c r="BP35" i="4"/>
  <c r="CN35" i="4"/>
  <c r="AJ37" i="4"/>
  <c r="DD37" i="4"/>
  <c r="AB39" i="4"/>
  <c r="L43" i="4"/>
  <c r="BH43" i="4"/>
  <c r="AB46" i="4"/>
  <c r="P47" i="4"/>
  <c r="BH47" i="4"/>
  <c r="P51" i="4"/>
  <c r="DL65" i="4"/>
  <c r="AZ66" i="4"/>
  <c r="BX66" i="4"/>
  <c r="BL71" i="4"/>
  <c r="AV73" i="4"/>
  <c r="E4" i="7"/>
  <c r="AA7" i="7"/>
  <c r="CI7" i="7"/>
  <c r="CJ7" i="7" s="1"/>
  <c r="CU7" i="7"/>
  <c r="CV7" i="7" s="1"/>
  <c r="DG7" i="7"/>
  <c r="DH7" i="7" s="1"/>
  <c r="AY11" i="7"/>
  <c r="BK11" i="7"/>
  <c r="BL11" i="7" s="1"/>
  <c r="BW11" i="7"/>
  <c r="CI11" i="7"/>
  <c r="CJ11" i="7" s="1"/>
  <c r="CU11" i="7"/>
  <c r="CV11" i="7" s="1"/>
  <c r="O23" i="7"/>
  <c r="P23" i="7" s="1"/>
  <c r="BK23" i="7"/>
  <c r="BC27" i="7"/>
  <c r="BD27" i="7" s="1"/>
  <c r="BO27" i="7"/>
  <c r="CA27" i="7"/>
  <c r="CB27" i="7" s="1"/>
  <c r="CY27" i="7"/>
  <c r="CZ27" i="7" s="1"/>
  <c r="K31" i="7"/>
  <c r="L31" i="7" s="1"/>
  <c r="W31" i="7"/>
  <c r="AI31" i="7"/>
  <c r="AJ31" i="7" s="1"/>
  <c r="BG31" i="7"/>
  <c r="BH31" i="7" s="1"/>
  <c r="BK35" i="7"/>
  <c r="BL35" i="7" s="1"/>
  <c r="CI35" i="7"/>
  <c r="CJ35" i="7" s="1"/>
  <c r="CU35" i="7"/>
  <c r="CV35" i="7" s="1"/>
  <c r="DG35" i="7"/>
  <c r="DH35" i="7" s="1"/>
  <c r="S39" i="7"/>
  <c r="T39" i="7" s="1"/>
  <c r="BC39" i="7"/>
  <c r="BD39" i="7" s="1"/>
  <c r="CM39" i="7"/>
  <c r="CN39" i="7" s="1"/>
  <c r="K43" i="7"/>
  <c r="L43" i="7" s="1"/>
  <c r="W43" i="7"/>
  <c r="X43" i="7" s="1"/>
  <c r="AI43" i="7"/>
  <c r="CE43" i="7"/>
  <c r="CF43" i="7" s="1"/>
  <c r="CQ43" i="7"/>
  <c r="CR43" i="7" s="1"/>
  <c r="DC43" i="7"/>
  <c r="DD43" i="7" s="1"/>
  <c r="CV46" i="4"/>
  <c r="AA11" i="7"/>
  <c r="AB11" i="7" s="1"/>
  <c r="CE11" i="7"/>
  <c r="CF11" i="7" s="1"/>
  <c r="CM15" i="7"/>
  <c r="CN15" i="7" s="1"/>
  <c r="CY15" i="7"/>
  <c r="CZ15" i="7" s="1"/>
  <c r="W19" i="7"/>
  <c r="X19" i="7" s="1"/>
  <c r="BG19" i="7"/>
  <c r="BH19" i="7" s="1"/>
  <c r="W23" i="7"/>
  <c r="X23" i="7" s="1"/>
  <c r="BG23" i="7"/>
  <c r="AM27" i="7"/>
  <c r="AN27" i="7" s="1"/>
  <c r="BK27" i="7"/>
  <c r="BL27" i="7" s="1"/>
  <c r="CI27" i="7"/>
  <c r="CJ27" i="7" s="1"/>
  <c r="CU27" i="7"/>
  <c r="CV27" i="7" s="1"/>
  <c r="DG27" i="7"/>
  <c r="DH27" i="7" s="1"/>
  <c r="BO31" i="7"/>
  <c r="BP31" i="7" s="1"/>
  <c r="CM31" i="7"/>
  <c r="CN31" i="7" s="1"/>
  <c r="DK31" i="7"/>
  <c r="W35" i="7"/>
  <c r="X35" i="7" s="1"/>
  <c r="AU35" i="7"/>
  <c r="AV35" i="7" s="1"/>
  <c r="BS51" i="7"/>
  <c r="BT51" i="7" s="1"/>
  <c r="CQ51" i="7"/>
  <c r="BD67" i="4"/>
  <c r="CB67" i="4"/>
  <c r="CV67" i="4"/>
  <c r="BK39" i="7"/>
  <c r="L9" i="4"/>
  <c r="AJ9" i="4"/>
  <c r="AV16" i="4"/>
  <c r="P18" i="4"/>
  <c r="CJ18" i="4"/>
  <c r="BL25" i="4"/>
  <c r="BL29" i="4"/>
  <c r="DD29" i="4"/>
  <c r="AJ33" i="4"/>
  <c r="AZ39" i="4"/>
  <c r="CV39" i="4"/>
  <c r="AJ40" i="4"/>
  <c r="AJ41" i="4"/>
  <c r="BD60" i="4"/>
  <c r="CB60" i="4"/>
  <c r="AZ63" i="4"/>
  <c r="P64" i="4"/>
  <c r="AN64" i="4"/>
  <c r="P73" i="4"/>
  <c r="E36" i="7"/>
  <c r="X4" i="4"/>
  <c r="BX4" i="4"/>
  <c r="DL8" i="4"/>
  <c r="X11" i="4"/>
  <c r="AV11" i="4"/>
  <c r="BH13" i="4"/>
  <c r="AZ15" i="4"/>
  <c r="DD17" i="4"/>
  <c r="AR18" i="4"/>
  <c r="AB19" i="4"/>
  <c r="CR19" i="4"/>
  <c r="AJ27" i="4"/>
  <c r="CB27" i="4"/>
  <c r="CF28" i="4"/>
  <c r="DD28" i="4"/>
  <c r="CR32" i="4"/>
  <c r="BD32" i="4"/>
  <c r="CB32" i="4"/>
  <c r="CZ32" i="4"/>
  <c r="P40" i="4"/>
  <c r="BL41" i="4"/>
  <c r="DH41" i="4"/>
  <c r="DL44" i="4"/>
  <c r="AN46" i="4"/>
  <c r="DH46" i="4"/>
  <c r="L60" i="4"/>
  <c r="CF60" i="4"/>
  <c r="T64" i="4"/>
  <c r="DL64" i="4"/>
  <c r="P67" i="4"/>
  <c r="DH73" i="4"/>
  <c r="AM19" i="7"/>
  <c r="AN19" i="7" s="1"/>
  <c r="BK19" i="7"/>
  <c r="BL19" i="7" s="1"/>
  <c r="CI19" i="7"/>
  <c r="CJ19" i="7" s="1"/>
  <c r="AM23" i="7"/>
  <c r="AN23" i="7" s="1"/>
  <c r="O35" i="7"/>
  <c r="BK51" i="7"/>
  <c r="BL51" i="7" s="1"/>
  <c r="E58" i="7"/>
  <c r="O67" i="7"/>
  <c r="P67" i="7" s="1"/>
  <c r="DD5" i="4"/>
  <c r="CJ13" i="4"/>
  <c r="CJ16" i="4"/>
  <c r="AN27" i="4"/>
  <c r="BH27" i="4"/>
  <c r="CZ27" i="4"/>
  <c r="CR35" i="4"/>
  <c r="P36" i="4"/>
  <c r="CJ36" i="4"/>
  <c r="BP41" i="4"/>
  <c r="AN60" i="4"/>
  <c r="P63" i="4"/>
  <c r="AN63" i="4"/>
  <c r="CR64" i="4"/>
  <c r="T67" i="4"/>
  <c r="AR67" i="4"/>
  <c r="BT68" i="4"/>
  <c r="AF70" i="4"/>
  <c r="BX70" i="4"/>
  <c r="CV70" i="4"/>
  <c r="L71" i="4"/>
  <c r="CB71" i="4"/>
  <c r="CZ71" i="4"/>
  <c r="DG19" i="7"/>
  <c r="DH19" i="7" s="1"/>
  <c r="E49" i="7"/>
  <c r="DG51" i="7"/>
  <c r="DH51" i="7" s="1"/>
  <c r="E65" i="7"/>
  <c r="P4" i="4"/>
  <c r="DD4" i="4"/>
  <c r="CJ5" i="4"/>
  <c r="DH5" i="4"/>
  <c r="X6" i="4"/>
  <c r="AV6" i="4"/>
  <c r="BT6" i="4"/>
  <c r="CR6" i="4"/>
  <c r="DD7" i="4"/>
  <c r="AZ10" i="4"/>
  <c r="L12" i="4"/>
  <c r="AJ12" i="4"/>
  <c r="BH12" i="4"/>
  <c r="CF12" i="4"/>
  <c r="DD12" i="4"/>
  <c r="L15" i="4"/>
  <c r="AJ15" i="4"/>
  <c r="DD15" i="4"/>
  <c r="CV25" i="4"/>
  <c r="T27" i="4"/>
  <c r="CR29" i="4"/>
  <c r="AF30" i="4"/>
  <c r="P32" i="4"/>
  <c r="CV37" i="4"/>
  <c r="BT40" i="4"/>
  <c r="X41" i="4"/>
  <c r="AV41" i="4"/>
  <c r="P44" i="4"/>
  <c r="P49" i="4"/>
  <c r="BD51" i="4"/>
  <c r="CR51" i="4"/>
  <c r="DD52" i="4"/>
  <c r="X54" i="4"/>
  <c r="CR55" i="4"/>
  <c r="CB55" i="4"/>
  <c r="T60" i="4"/>
  <c r="AR60" i="4"/>
  <c r="AR63" i="4"/>
  <c r="BP63" i="4"/>
  <c r="AB64" i="4"/>
  <c r="AZ64" i="4"/>
  <c r="CZ65" i="4"/>
  <c r="P66" i="4"/>
  <c r="DH66" i="4"/>
  <c r="X67" i="4"/>
  <c r="AV67" i="4"/>
  <c r="BT67" i="4"/>
  <c r="CN67" i="4"/>
  <c r="DL67" i="4"/>
  <c r="AJ70" i="4"/>
  <c r="BD70" i="4"/>
  <c r="CB70" i="4"/>
  <c r="DL72" i="4"/>
  <c r="AZ73" i="4"/>
  <c r="BX73" i="4"/>
  <c r="DD74" i="4"/>
  <c r="BG11" i="7"/>
  <c r="BH11" i="7" s="1"/>
  <c r="BS11" i="7"/>
  <c r="BT11" i="7" s="1"/>
  <c r="CY11" i="7"/>
  <c r="CZ11" i="7" s="1"/>
  <c r="S15" i="7"/>
  <c r="T15" i="7" s="1"/>
  <c r="CU15" i="7"/>
  <c r="CV15" i="7" s="1"/>
  <c r="E17" i="7"/>
  <c r="BC23" i="7"/>
  <c r="BD23" i="7" s="1"/>
  <c r="BS27" i="7"/>
  <c r="BT27" i="7" s="1"/>
  <c r="CQ27" i="7"/>
  <c r="CR27" i="7" s="1"/>
  <c r="CI43" i="7"/>
  <c r="E50" i="7"/>
  <c r="W51" i="7"/>
  <c r="X51" i="7" s="1"/>
  <c r="K55" i="7"/>
  <c r="L55" i="7" s="1"/>
  <c r="W55" i="7"/>
  <c r="X55" i="7" s="1"/>
  <c r="O59" i="7"/>
  <c r="P59" i="7" s="1"/>
  <c r="AM59" i="7"/>
  <c r="AN59" i="7" s="1"/>
  <c r="BK59" i="7"/>
  <c r="BL59" i="7" s="1"/>
  <c r="BW59" i="7"/>
  <c r="BX59" i="7" s="1"/>
  <c r="CI59" i="7"/>
  <c r="CJ59" i="7" s="1"/>
  <c r="DG59" i="7"/>
  <c r="DH59" i="7" s="1"/>
  <c r="AB7" i="4"/>
  <c r="AZ7" i="4"/>
  <c r="BT7" i="4"/>
  <c r="L7" i="4"/>
  <c r="AF7" i="4"/>
  <c r="AF4" i="4"/>
  <c r="CR4" i="4"/>
  <c r="DL5" i="4"/>
  <c r="AZ5" i="4"/>
  <c r="BX5" i="4"/>
  <c r="CR5" i="4"/>
  <c r="P7" i="4"/>
  <c r="BH7" i="4"/>
  <c r="CV7" i="4"/>
  <c r="L4" i="4"/>
  <c r="AJ4" i="4"/>
  <c r="CV4" i="4"/>
  <c r="L5" i="4"/>
  <c r="AV7" i="4"/>
  <c r="DH7" i="4"/>
  <c r="X8" i="4"/>
  <c r="BT8" i="4"/>
  <c r="DL9" i="4"/>
  <c r="P13" i="4"/>
  <c r="BX13" i="4"/>
  <c r="CR13" i="4"/>
  <c r="DL13" i="4"/>
  <c r="T16" i="4"/>
  <c r="AN16" i="4"/>
  <c r="BH16" i="4"/>
  <c r="BX16" i="4"/>
  <c r="CR16" i="4"/>
  <c r="CB19" i="4"/>
  <c r="CV19" i="4"/>
  <c r="X25" i="4"/>
  <c r="DD25" i="4"/>
  <c r="DL26" i="4"/>
  <c r="BT28" i="4"/>
  <c r="BP30" i="4"/>
  <c r="DH30" i="4"/>
  <c r="BP32" i="4"/>
  <c r="CN32" i="4"/>
  <c r="T37" i="4"/>
  <c r="AN37" i="4"/>
  <c r="BL37" i="4"/>
  <c r="AN39" i="4"/>
  <c r="BL39" i="4"/>
  <c r="CB43" i="4"/>
  <c r="T46" i="4"/>
  <c r="BX46" i="4"/>
  <c r="P52" i="4"/>
  <c r="AJ52" i="4"/>
  <c r="CB52" i="4"/>
  <c r="CV52" i="4"/>
  <c r="CN53" i="4"/>
  <c r="CR7" i="4"/>
  <c r="DL7" i="4"/>
  <c r="BH9" i="4"/>
  <c r="CF9" i="4"/>
  <c r="DD9" i="4"/>
  <c r="CF10" i="4"/>
  <c r="BH11" i="4"/>
  <c r="AN13" i="4"/>
  <c r="X16" i="4"/>
  <c r="AR16" i="4"/>
  <c r="BL16" i="4"/>
  <c r="CB16" i="4"/>
  <c r="CV16" i="4"/>
  <c r="BD17" i="4"/>
  <c r="CB17" i="4"/>
  <c r="T19" i="4"/>
  <c r="AN19" i="4"/>
  <c r="BT22" i="4"/>
  <c r="AF22" i="4"/>
  <c r="CR26" i="4"/>
  <c r="AB27" i="4"/>
  <c r="AF27" i="4"/>
  <c r="AB28" i="4"/>
  <c r="L30" i="4"/>
  <c r="BT30" i="4"/>
  <c r="CR30" i="4"/>
  <c r="DL30" i="4"/>
  <c r="AZ31" i="4"/>
  <c r="L32" i="4"/>
  <c r="AF32" i="4"/>
  <c r="BL34" i="4"/>
  <c r="X37" i="4"/>
  <c r="CN37" i="4"/>
  <c r="BP38" i="4"/>
  <c r="AR39" i="4"/>
  <c r="BP39" i="4"/>
  <c r="DD39" i="4"/>
  <c r="BL40" i="4"/>
  <c r="DD40" i="4"/>
  <c r="AN41" i="4"/>
  <c r="BH41" i="4"/>
  <c r="CF41" i="4"/>
  <c r="BL44" i="4"/>
  <c r="CF44" i="4"/>
  <c r="AZ47" i="4"/>
  <c r="BX47" i="4"/>
  <c r="AF51" i="4"/>
  <c r="CN51" i="4"/>
  <c r="T52" i="4"/>
  <c r="CZ52" i="4"/>
  <c r="T54" i="4"/>
  <c r="AB55" i="4"/>
  <c r="AV55" i="4"/>
  <c r="BT55" i="4"/>
  <c r="DL55" i="4"/>
  <c r="T58" i="4"/>
  <c r="AN58" i="4"/>
  <c r="T62" i="4"/>
  <c r="BX7" i="4"/>
  <c r="X13" i="4"/>
  <c r="AR13" i="4"/>
  <c r="CF13" i="4"/>
  <c r="CV13" i="4"/>
  <c r="CZ16" i="4"/>
  <c r="AZ21" i="4"/>
  <c r="BX21" i="4"/>
  <c r="AF25" i="4"/>
  <c r="DL25" i="4"/>
  <c r="AJ28" i="4"/>
  <c r="CF31" i="4"/>
  <c r="AF31" i="4"/>
  <c r="BT37" i="4"/>
  <c r="DL39" i="4"/>
  <c r="BT39" i="4"/>
  <c r="CN39" i="4"/>
  <c r="DH39" i="4"/>
  <c r="BL43" i="4"/>
  <c r="BL46" i="4"/>
  <c r="CZ46" i="4"/>
  <c r="X52" i="4"/>
  <c r="AR52" i="4"/>
  <c r="BL52" i="4"/>
  <c r="CF52" i="4"/>
  <c r="AF55" i="4"/>
  <c r="AV13" i="4"/>
  <c r="CZ13" i="4"/>
  <c r="AB16" i="4"/>
  <c r="DD16" i="4"/>
  <c r="BD26" i="4"/>
  <c r="AF37" i="4"/>
  <c r="AZ37" i="4"/>
  <c r="BX37" i="4"/>
  <c r="DL37" i="4"/>
  <c r="BP46" i="4"/>
  <c r="CJ46" i="4"/>
  <c r="AV52" i="4"/>
  <c r="BP52" i="4"/>
  <c r="CJ52" i="4"/>
  <c r="BL4" i="4"/>
  <c r="AJ5" i="4"/>
  <c r="AN7" i="4"/>
  <c r="CF7" i="4"/>
  <c r="AV9" i="4"/>
  <c r="BT9" i="4"/>
  <c r="CR9" i="4"/>
  <c r="BT11" i="4"/>
  <c r="L13" i="4"/>
  <c r="AZ13" i="4"/>
  <c r="L16" i="4"/>
  <c r="AF16" i="4"/>
  <c r="AZ16" i="4"/>
  <c r="DH16" i="4"/>
  <c r="T17" i="4"/>
  <c r="AR17" i="4"/>
  <c r="CN17" i="4"/>
  <c r="DL19" i="4"/>
  <c r="CJ22" i="4"/>
  <c r="DH22" i="4"/>
  <c r="AV23" i="4"/>
  <c r="CR23" i="4"/>
  <c r="AN25" i="4"/>
  <c r="AR27" i="4"/>
  <c r="BL27" i="4"/>
  <c r="CJ27" i="4"/>
  <c r="BL28" i="4"/>
  <c r="CJ28" i="4"/>
  <c r="T29" i="4"/>
  <c r="BP29" i="4"/>
  <c r="DH29" i="4"/>
  <c r="AN30" i="4"/>
  <c r="CF30" i="4"/>
  <c r="CZ30" i="4"/>
  <c r="P33" i="4"/>
  <c r="AN33" i="4"/>
  <c r="L37" i="4"/>
  <c r="CB37" i="4"/>
  <c r="P39" i="4"/>
  <c r="AF39" i="4"/>
  <c r="BD39" i="4"/>
  <c r="BH40" i="4"/>
  <c r="AB40" i="4"/>
  <c r="AZ40" i="4"/>
  <c r="DL41" i="4"/>
  <c r="CR41" i="4"/>
  <c r="BX42" i="4"/>
  <c r="AF43" i="4"/>
  <c r="BT43" i="4"/>
  <c r="AZ44" i="4"/>
  <c r="AF46" i="4"/>
  <c r="AZ46" i="4"/>
  <c r="CN46" i="4"/>
  <c r="CZ51" i="4"/>
  <c r="AZ52" i="4"/>
  <c r="BT52" i="4"/>
  <c r="CN52" i="4"/>
  <c r="DH52" i="4"/>
  <c r="BX54" i="4"/>
  <c r="CZ54" i="4"/>
  <c r="BH55" i="4"/>
  <c r="CF55" i="4"/>
  <c r="BX58" i="4"/>
  <c r="CV58" i="4"/>
  <c r="DH60" i="4"/>
  <c r="CR61" i="4"/>
  <c r="CZ62" i="4"/>
  <c r="AR4" i="4"/>
  <c r="CF4" i="4"/>
  <c r="CZ7" i="4"/>
  <c r="X9" i="4"/>
  <c r="AV4" i="4"/>
  <c r="BP4" i="4"/>
  <c r="P5" i="4"/>
  <c r="AN5" i="4"/>
  <c r="BH5" i="4"/>
  <c r="X7" i="4"/>
  <c r="AR7" i="4"/>
  <c r="CJ7" i="4"/>
  <c r="L10" i="4"/>
  <c r="BX10" i="4"/>
  <c r="AZ11" i="4"/>
  <c r="BX11" i="4"/>
  <c r="CR11" i="4"/>
  <c r="AF13" i="4"/>
  <c r="DH13" i="4"/>
  <c r="CB15" i="4"/>
  <c r="CZ15" i="4"/>
  <c r="P16" i="4"/>
  <c r="AJ16" i="4"/>
  <c r="BD16" i="4"/>
  <c r="CN16" i="4"/>
  <c r="X17" i="4"/>
  <c r="AV17" i="4"/>
  <c r="AB18" i="4"/>
  <c r="AZ18" i="4"/>
  <c r="BX19" i="4"/>
  <c r="DL20" i="4"/>
  <c r="CZ20" i="4"/>
  <c r="BP22" i="4"/>
  <c r="T25" i="4"/>
  <c r="AR25" i="4"/>
  <c r="AR28" i="4"/>
  <c r="BP28" i="4"/>
  <c r="AV29" i="4"/>
  <c r="X30" i="4"/>
  <c r="BL30" i="4"/>
  <c r="CJ32" i="4"/>
  <c r="DD32" i="4"/>
  <c r="T33" i="4"/>
  <c r="AF35" i="4"/>
  <c r="CN36" i="4"/>
  <c r="BH37" i="4"/>
  <c r="BH38" i="4"/>
  <c r="BH39" i="4"/>
  <c r="AF40" i="4"/>
  <c r="BD40" i="4"/>
  <c r="CV40" i="4"/>
  <c r="L41" i="4"/>
  <c r="AF41" i="4"/>
  <c r="BX41" i="4"/>
  <c r="P43" i="4"/>
  <c r="L44" i="4"/>
  <c r="CV44" i="4"/>
  <c r="P46" i="4"/>
  <c r="BD46" i="4"/>
  <c r="X47" i="4"/>
  <c r="AF49" i="4"/>
  <c r="CB49" i="4"/>
  <c r="X51" i="4"/>
  <c r="CF51" i="4"/>
  <c r="AF52" i="4"/>
  <c r="BX52" i="4"/>
  <c r="CR52" i="4"/>
  <c r="DL52" i="4"/>
  <c r="T55" i="4"/>
  <c r="AN55" i="4"/>
  <c r="BL55" i="4"/>
  <c r="DD55" i="4"/>
  <c r="AR56" i="4"/>
  <c r="DL56" i="4"/>
  <c r="BD58" i="4"/>
  <c r="X60" i="4"/>
  <c r="DL60" i="4"/>
  <c r="DH67" i="4"/>
  <c r="CB69" i="4"/>
  <c r="BX71" i="4"/>
  <c r="CV71" i="4"/>
  <c r="AF72" i="4"/>
  <c r="AR74" i="4"/>
  <c r="BP74" i="4"/>
  <c r="DL74" i="4"/>
  <c r="O7" i="7"/>
  <c r="O11" i="7"/>
  <c r="P11" i="7" s="1"/>
  <c r="W15" i="7"/>
  <c r="X15" i="7" s="1"/>
  <c r="AI15" i="7"/>
  <c r="AJ15" i="7" s="1"/>
  <c r="BC15" i="7"/>
  <c r="BD15" i="7" s="1"/>
  <c r="DG15" i="7"/>
  <c r="O27" i="7"/>
  <c r="P27" i="7" s="1"/>
  <c r="AA27" i="7"/>
  <c r="AB27" i="7" s="1"/>
  <c r="O31" i="7"/>
  <c r="P31" i="7" s="1"/>
  <c r="AM31" i="7"/>
  <c r="BK31" i="7"/>
  <c r="BL31" i="7" s="1"/>
  <c r="AM35" i="7"/>
  <c r="AN35" i="7" s="1"/>
  <c r="AY35" i="7"/>
  <c r="AZ35" i="7" s="1"/>
  <c r="CA43" i="7"/>
  <c r="CB43" i="7" s="1"/>
  <c r="AQ51" i="7"/>
  <c r="W59" i="7"/>
  <c r="X59" i="7" s="1"/>
  <c r="AI59" i="7"/>
  <c r="AJ59" i="7" s="1"/>
  <c r="BG59" i="7"/>
  <c r="BH59" i="7" s="1"/>
  <c r="CE59" i="7"/>
  <c r="CF59" i="7" s="1"/>
  <c r="AA67" i="7"/>
  <c r="AB67" i="7" s="1"/>
  <c r="AM67" i="7"/>
  <c r="AN67" i="7" s="1"/>
  <c r="AY67" i="7"/>
  <c r="AZ67" i="7" s="1"/>
  <c r="BK67" i="7"/>
  <c r="BL67" i="7" s="1"/>
  <c r="CF62" i="4"/>
  <c r="DD62" i="4"/>
  <c r="DH63" i="4"/>
  <c r="X64" i="4"/>
  <c r="DH64" i="4"/>
  <c r="X65" i="4"/>
  <c r="BX67" i="4"/>
  <c r="CR67" i="4"/>
  <c r="DD68" i="4"/>
  <c r="CB68" i="4"/>
  <c r="CF69" i="4"/>
  <c r="P71" i="4"/>
  <c r="BH71" i="4"/>
  <c r="CF71" i="4"/>
  <c r="P72" i="4"/>
  <c r="CJ72" i="4"/>
  <c r="BT73" i="4"/>
  <c r="DG11" i="7"/>
  <c r="DH11" i="7" s="1"/>
  <c r="BG15" i="7"/>
  <c r="BH15" i="7" s="1"/>
  <c r="CA15" i="7"/>
  <c r="CB15" i="7" s="1"/>
  <c r="K23" i="7"/>
  <c r="L23" i="7" s="1"/>
  <c r="S23" i="7"/>
  <c r="T23" i="7" s="1"/>
  <c r="DG23" i="7"/>
  <c r="DH23" i="7" s="1"/>
  <c r="AE27" i="7"/>
  <c r="AF27" i="7" s="1"/>
  <c r="AY27" i="7"/>
  <c r="AZ27" i="7" s="1"/>
  <c r="BW27" i="7"/>
  <c r="BX27" i="7" s="1"/>
  <c r="E28" i="7"/>
  <c r="S31" i="7"/>
  <c r="T31" i="7" s="1"/>
  <c r="AQ31" i="7"/>
  <c r="AR31" i="7" s="1"/>
  <c r="BC31" i="7"/>
  <c r="AE35" i="7"/>
  <c r="AF35" i="7" s="1"/>
  <c r="BW35" i="7"/>
  <c r="BX35" i="7" s="1"/>
  <c r="AE39" i="7"/>
  <c r="AF39" i="7" s="1"/>
  <c r="CY39" i="7"/>
  <c r="CZ39" i="7" s="1"/>
  <c r="AU43" i="7"/>
  <c r="AV43" i="7" s="1"/>
  <c r="BG43" i="7"/>
  <c r="BH43" i="7" s="1"/>
  <c r="BS43" i="7"/>
  <c r="BT43" i="7" s="1"/>
  <c r="AI51" i="7"/>
  <c r="AJ51" i="7" s="1"/>
  <c r="AU51" i="7"/>
  <c r="AV51" i="7" s="1"/>
  <c r="DK51" i="7"/>
  <c r="DL51" i="7" s="1"/>
  <c r="E52" i="7"/>
  <c r="E54" i="7"/>
  <c r="AI55" i="7"/>
  <c r="AJ55" i="7" s="1"/>
  <c r="AU55" i="7"/>
  <c r="AV55" i="7" s="1"/>
  <c r="AN75" i="4"/>
  <c r="E21" i="7"/>
  <c r="P51" i="7"/>
  <c r="CI67" i="7"/>
  <c r="CJ67" i="7" s="1"/>
  <c r="BP62" i="4"/>
  <c r="AF64" i="4"/>
  <c r="BX64" i="4"/>
  <c r="CJ66" i="4"/>
  <c r="AF66" i="4"/>
  <c r="BD66" i="4"/>
  <c r="CZ66" i="4"/>
  <c r="AJ67" i="4"/>
  <c r="BH67" i="4"/>
  <c r="DH68" i="4"/>
  <c r="AR69" i="4"/>
  <c r="BP69" i="4"/>
  <c r="CN69" i="4"/>
  <c r="X71" i="4"/>
  <c r="AF73" i="4"/>
  <c r="E6" i="7"/>
  <c r="W7" i="7"/>
  <c r="X7" i="7" s="1"/>
  <c r="AE7" i="7"/>
  <c r="AF7" i="7" s="1"/>
  <c r="AQ7" i="7"/>
  <c r="AR7" i="7" s="1"/>
  <c r="BC7" i="7"/>
  <c r="BD7" i="7" s="1"/>
  <c r="CY7" i="7"/>
  <c r="CZ7" i="7" s="1"/>
  <c r="DK7" i="7"/>
  <c r="DL7" i="7" s="1"/>
  <c r="BX11" i="7"/>
  <c r="DK11" i="7"/>
  <c r="DL11" i="7" s="1"/>
  <c r="CF15" i="7"/>
  <c r="AE15" i="7"/>
  <c r="AF15" i="7" s="1"/>
  <c r="E18" i="7"/>
  <c r="AI19" i="7"/>
  <c r="AJ19" i="7" s="1"/>
  <c r="CE19" i="7"/>
  <c r="CF19" i="7" s="1"/>
  <c r="CQ19" i="7"/>
  <c r="CR19" i="7" s="1"/>
  <c r="BO23" i="7"/>
  <c r="BP23" i="7" s="1"/>
  <c r="CA31" i="7"/>
  <c r="CB31" i="7" s="1"/>
  <c r="CY31" i="7"/>
  <c r="CZ31" i="7" s="1"/>
  <c r="DK35" i="7"/>
  <c r="DL35" i="7" s="1"/>
  <c r="E41" i="7"/>
  <c r="AA43" i="7"/>
  <c r="AB43" i="7" s="1"/>
  <c r="E48" i="7"/>
  <c r="AA59" i="7"/>
  <c r="AB59" i="7" s="1"/>
  <c r="AY59" i="7"/>
  <c r="AZ59" i="7" s="1"/>
  <c r="CZ60" i="4"/>
  <c r="X62" i="4"/>
  <c r="AV62" i="4"/>
  <c r="CR62" i="4"/>
  <c r="L64" i="4"/>
  <c r="AJ64" i="4"/>
  <c r="BD64" i="4"/>
  <c r="CB64" i="4"/>
  <c r="CV64" i="4"/>
  <c r="L65" i="4"/>
  <c r="BD65" i="4"/>
  <c r="AJ66" i="4"/>
  <c r="AN67" i="4"/>
  <c r="BL67" i="4"/>
  <c r="AB69" i="4"/>
  <c r="BT70" i="4"/>
  <c r="CR70" i="4"/>
  <c r="DL70" i="4"/>
  <c r="BT71" i="4"/>
  <c r="CR71" i="4"/>
  <c r="BX72" i="4"/>
  <c r="L73" i="4"/>
  <c r="AJ73" i="4"/>
  <c r="BH73" i="4"/>
  <c r="BG7" i="7"/>
  <c r="BH7" i="7" s="1"/>
  <c r="BS7" i="7"/>
  <c r="BT7" i="7" s="1"/>
  <c r="CQ7" i="7"/>
  <c r="CR7" i="7" s="1"/>
  <c r="AI11" i="7"/>
  <c r="AJ11" i="7" s="1"/>
  <c r="CI15" i="7"/>
  <c r="CJ15" i="7" s="1"/>
  <c r="AA19" i="7"/>
  <c r="AB19" i="7" s="1"/>
  <c r="AY19" i="7"/>
  <c r="AZ19" i="7" s="1"/>
  <c r="BW19" i="7"/>
  <c r="BX19" i="7" s="1"/>
  <c r="BS23" i="7"/>
  <c r="BT23" i="7" s="1"/>
  <c r="CQ23" i="7"/>
  <c r="CR23" i="7" s="1"/>
  <c r="DK23" i="7"/>
  <c r="W27" i="7"/>
  <c r="X27" i="7" s="1"/>
  <c r="E29" i="7"/>
  <c r="CE31" i="7"/>
  <c r="CF31" i="7" s="1"/>
  <c r="CQ31" i="7"/>
  <c r="CR31" i="7" s="1"/>
  <c r="DC31" i="7"/>
  <c r="DD31" i="7" s="1"/>
  <c r="AI35" i="7"/>
  <c r="AJ35" i="7" s="1"/>
  <c r="BS35" i="7"/>
  <c r="BT35" i="7" s="1"/>
  <c r="DC35" i="7"/>
  <c r="DD35" i="7" s="1"/>
  <c r="AA39" i="7"/>
  <c r="AB39" i="7" s="1"/>
  <c r="AM39" i="7"/>
  <c r="AN39" i="7" s="1"/>
  <c r="AY39" i="7"/>
  <c r="AZ39" i="7" s="1"/>
  <c r="BW39" i="7"/>
  <c r="BX39" i="7" s="1"/>
  <c r="CU39" i="7"/>
  <c r="CV39" i="7" s="1"/>
  <c r="DG39" i="7"/>
  <c r="DH39" i="7" s="1"/>
  <c r="S43" i="7"/>
  <c r="T43" i="7" s="1"/>
  <c r="AQ43" i="7"/>
  <c r="AR43" i="7" s="1"/>
  <c r="BW43" i="7"/>
  <c r="BX43" i="7" s="1"/>
  <c r="CU43" i="7"/>
  <c r="CV43" i="7" s="1"/>
  <c r="S51" i="7"/>
  <c r="T51" i="7" s="1"/>
  <c r="AM51" i="7"/>
  <c r="AN51" i="7" s="1"/>
  <c r="BW51" i="7"/>
  <c r="BX51" i="7" s="1"/>
  <c r="CI51" i="7"/>
  <c r="CJ51" i="7" s="1"/>
  <c r="E57" i="7"/>
  <c r="AE59" i="7"/>
  <c r="AF59" i="7" s="1"/>
  <c r="AQ59" i="7"/>
  <c r="AR59" i="7" s="1"/>
  <c r="BC59" i="7"/>
  <c r="BD59" i="7" s="1"/>
  <c r="CA59" i="7"/>
  <c r="CB59" i="7" s="1"/>
  <c r="CU59" i="7"/>
  <c r="CV59" i="7" s="1"/>
  <c r="S63" i="7"/>
  <c r="T63" i="7" s="1"/>
  <c r="AE63" i="7"/>
  <c r="AQ63" i="7"/>
  <c r="AR63" i="7" s="1"/>
  <c r="BC63" i="7"/>
  <c r="BD63" i="7" s="1"/>
  <c r="BO63" i="7"/>
  <c r="BP63" i="7" s="1"/>
  <c r="CA63" i="7"/>
  <c r="CB63" i="7" s="1"/>
  <c r="CM63" i="7"/>
  <c r="CN63" i="7" s="1"/>
  <c r="CY63" i="7"/>
  <c r="DK63" i="7"/>
  <c r="DL63" i="7" s="1"/>
  <c r="K67" i="7"/>
  <c r="L67" i="7" s="1"/>
  <c r="W67" i="7"/>
  <c r="X67" i="7" s="1"/>
  <c r="AU67" i="7"/>
  <c r="AV67" i="7" s="1"/>
  <c r="BG67" i="7"/>
  <c r="BH67" i="7" s="1"/>
  <c r="AN8" i="4"/>
  <c r="BX8" i="4"/>
  <c r="DH8" i="4"/>
  <c r="AJ10" i="4"/>
  <c r="BL10" i="4"/>
  <c r="CB10" i="4"/>
  <c r="DD10" i="4"/>
  <c r="AB14" i="4"/>
  <c r="AZ14" i="4"/>
  <c r="BX14" i="4"/>
  <c r="CV14" i="4"/>
  <c r="BL20" i="4"/>
  <c r="CB20" i="4"/>
  <c r="CR20" i="4"/>
  <c r="AB22" i="4"/>
  <c r="BL22" i="4"/>
  <c r="CF22" i="4"/>
  <c r="DD22" i="4"/>
  <c r="BP24" i="4"/>
  <c r="DH24" i="4"/>
  <c r="X26" i="4"/>
  <c r="AR26" i="4"/>
  <c r="BL26" i="4"/>
  <c r="CJ26" i="4"/>
  <c r="CZ26" i="4"/>
  <c r="AB31" i="4"/>
  <c r="AV31" i="4"/>
  <c r="BP31" i="4"/>
  <c r="CJ31" i="4"/>
  <c r="CR8" i="4"/>
  <c r="BP10" i="4"/>
  <c r="CR10" i="4"/>
  <c r="X20" i="4"/>
  <c r="AR20" i="4"/>
  <c r="CV20" i="4"/>
  <c r="AB24" i="4"/>
  <c r="BT24" i="4"/>
  <c r="CR24" i="4"/>
  <c r="AB26" i="4"/>
  <c r="AV26" i="4"/>
  <c r="BP26" i="4"/>
  <c r="BT31" i="4"/>
  <c r="DL31" i="4"/>
  <c r="T7" i="4"/>
  <c r="CN7" i="4"/>
  <c r="AB8" i="4"/>
  <c r="BL8" i="4"/>
  <c r="CV8" i="4"/>
  <c r="BD10" i="4"/>
  <c r="T13" i="4"/>
  <c r="CN13" i="4"/>
  <c r="L14" i="4"/>
  <c r="AJ14" i="4"/>
  <c r="BH14" i="4"/>
  <c r="CF14" i="4"/>
  <c r="DD14" i="4"/>
  <c r="AR19" i="4"/>
  <c r="CF19" i="4"/>
  <c r="CZ19" i="4"/>
  <c r="AB20" i="4"/>
  <c r="AV20" i="4"/>
  <c r="AB21" i="4"/>
  <c r="CZ21" i="4"/>
  <c r="P22" i="4"/>
  <c r="AZ22" i="4"/>
  <c r="CN22" i="4"/>
  <c r="DL22" i="4"/>
  <c r="L24" i="4"/>
  <c r="AZ24" i="4"/>
  <c r="CV24" i="4"/>
  <c r="AB25" i="4"/>
  <c r="BT26" i="4"/>
  <c r="DH26" i="4"/>
  <c r="AV28" i="4"/>
  <c r="CN28" i="4"/>
  <c r="DH28" i="4"/>
  <c r="AJ7" i="4"/>
  <c r="BL7" i="4"/>
  <c r="CB7" i="4"/>
  <c r="AV8" i="4"/>
  <c r="CF8" i="4"/>
  <c r="AB10" i="4"/>
  <c r="AR10" i="4"/>
  <c r="BT10" i="4"/>
  <c r="DL10" i="4"/>
  <c r="AJ13" i="4"/>
  <c r="BL13" i="4"/>
  <c r="CB13" i="4"/>
  <c r="P14" i="4"/>
  <c r="AN14" i="4"/>
  <c r="BL14" i="4"/>
  <c r="CJ14" i="4"/>
  <c r="DH14" i="4"/>
  <c r="AV19" i="4"/>
  <c r="CJ19" i="4"/>
  <c r="AF20" i="4"/>
  <c r="CJ20" i="4"/>
  <c r="T22" i="4"/>
  <c r="AJ22" i="4"/>
  <c r="BD22" i="4"/>
  <c r="CR22" i="4"/>
  <c r="CB23" i="4"/>
  <c r="BD24" i="4"/>
  <c r="AZ25" i="4"/>
  <c r="BT25" i="4"/>
  <c r="CN25" i="4"/>
  <c r="P26" i="4"/>
  <c r="BX26" i="4"/>
  <c r="L28" i="4"/>
  <c r="AF28" i="4"/>
  <c r="AZ28" i="4"/>
  <c r="CR28" i="4"/>
  <c r="DL28" i="4"/>
  <c r="T31" i="4"/>
  <c r="AJ31" i="4"/>
  <c r="CB31" i="4"/>
  <c r="CV31" i="4"/>
  <c r="BD4" i="4"/>
  <c r="CJ4" i="4"/>
  <c r="CZ4" i="4"/>
  <c r="BP7" i="4"/>
  <c r="P8" i="4"/>
  <c r="AZ8" i="4"/>
  <c r="CJ8" i="4"/>
  <c r="AF10" i="4"/>
  <c r="CZ10" i="4"/>
  <c r="BP13" i="4"/>
  <c r="DL16" i="4"/>
  <c r="CR17" i="4"/>
  <c r="L19" i="4"/>
  <c r="AF19" i="4"/>
  <c r="AZ19" i="4"/>
  <c r="BP19" i="4"/>
  <c r="CN19" i="4"/>
  <c r="P20" i="4"/>
  <c r="AJ20" i="4"/>
  <c r="BD20" i="4"/>
  <c r="CN20" i="4"/>
  <c r="DD20" i="4"/>
  <c r="P21" i="4"/>
  <c r="CJ21" i="4"/>
  <c r="X22" i="4"/>
  <c r="AN22" i="4"/>
  <c r="BH22" i="4"/>
  <c r="BX22" i="4"/>
  <c r="CV22" i="4"/>
  <c r="DD24" i="4"/>
  <c r="L25" i="4"/>
  <c r="BD25" i="4"/>
  <c r="BX25" i="4"/>
  <c r="T26" i="4"/>
  <c r="AJ26" i="4"/>
  <c r="CB26" i="4"/>
  <c r="CV26" i="4"/>
  <c r="AV27" i="4"/>
  <c r="BP27" i="4"/>
  <c r="CN27" i="4"/>
  <c r="DD27" i="4"/>
  <c r="P28" i="4"/>
  <c r="BD28" i="4"/>
  <c r="BX28" i="4"/>
  <c r="CV28" i="4"/>
  <c r="AN31" i="4"/>
  <c r="CZ31" i="4"/>
  <c r="L8" i="4"/>
  <c r="AN4" i="4"/>
  <c r="CN4" i="4"/>
  <c r="AB5" i="4"/>
  <c r="BL5" i="4"/>
  <c r="CV5" i="4"/>
  <c r="BD7" i="4"/>
  <c r="T10" i="4"/>
  <c r="CN10" i="4"/>
  <c r="AB11" i="4"/>
  <c r="BL11" i="4"/>
  <c r="CV11" i="4"/>
  <c r="DL12" i="4"/>
  <c r="BD13" i="4"/>
  <c r="X14" i="4"/>
  <c r="AV14" i="4"/>
  <c r="BT14" i="4"/>
  <c r="CR14" i="4"/>
  <c r="AB15" i="4"/>
  <c r="AF15" i="4"/>
  <c r="BX15" i="4"/>
  <c r="BP16" i="4"/>
  <c r="CF16" i="4"/>
  <c r="AF17" i="4"/>
  <c r="CZ22" i="4"/>
  <c r="X24" i="4"/>
  <c r="AN24" i="4"/>
  <c r="P25" i="4"/>
  <c r="AJ25" i="4"/>
  <c r="BH25" i="4"/>
  <c r="CB25" i="4"/>
  <c r="DH25" i="4"/>
  <c r="AN26" i="4"/>
  <c r="BH26" i="4"/>
  <c r="CF26" i="4"/>
  <c r="AZ27" i="4"/>
  <c r="BT27" i="4"/>
  <c r="DH27" i="4"/>
  <c r="T28" i="4"/>
  <c r="BH28" i="4"/>
  <c r="CZ28" i="4"/>
  <c r="X31" i="4"/>
  <c r="AR31" i="4"/>
  <c r="BL31" i="4"/>
  <c r="DD31" i="4"/>
  <c r="BH31" i="4"/>
  <c r="BX31" i="4"/>
  <c r="CR31" i="4"/>
  <c r="DH31" i="4"/>
  <c r="BX32" i="4"/>
  <c r="DL32" i="4"/>
  <c r="AR33" i="4"/>
  <c r="BL33" i="4"/>
  <c r="CJ33" i="4"/>
  <c r="CZ33" i="4"/>
  <c r="P34" i="4"/>
  <c r="AJ34" i="4"/>
  <c r="BD34" i="4"/>
  <c r="CN34" i="4"/>
  <c r="DD34" i="4"/>
  <c r="AJ35" i="4"/>
  <c r="BD35" i="4"/>
  <c r="BX35" i="4"/>
  <c r="AV37" i="4"/>
  <c r="BP37" i="4"/>
  <c r="CJ37" i="4"/>
  <c r="P38" i="4"/>
  <c r="AF38" i="4"/>
  <c r="BD38" i="4"/>
  <c r="BT38" i="4"/>
  <c r="DH38" i="4"/>
  <c r="CB39" i="4"/>
  <c r="X40" i="4"/>
  <c r="AN40" i="4"/>
  <c r="BX40" i="4"/>
  <c r="CR40" i="4"/>
  <c r="DH40" i="4"/>
  <c r="BT41" i="4"/>
  <c r="CN41" i="4"/>
  <c r="DD41" i="4"/>
  <c r="AR42" i="4"/>
  <c r="BP42" i="4"/>
  <c r="DL42" i="4"/>
  <c r="AJ43" i="4"/>
  <c r="AZ43" i="4"/>
  <c r="BP43" i="4"/>
  <c r="CF43" i="4"/>
  <c r="CV43" i="4"/>
  <c r="X44" i="4"/>
  <c r="BH44" i="4"/>
  <c r="CR44" i="4"/>
  <c r="DL47" i="4"/>
  <c r="AB47" i="4"/>
  <c r="AV47" i="4"/>
  <c r="CJ47" i="4"/>
  <c r="AF48" i="4"/>
  <c r="BD48" i="4"/>
  <c r="BT48" i="4"/>
  <c r="AR49" i="4"/>
  <c r="BP49" i="4"/>
  <c r="AF54" i="4"/>
  <c r="AZ54" i="4"/>
  <c r="CN54" i="4"/>
  <c r="BD55" i="4"/>
  <c r="CJ55" i="4"/>
  <c r="L56" i="4"/>
  <c r="AB56" i="4"/>
  <c r="AV56" i="4"/>
  <c r="BP56" i="4"/>
  <c r="DH56" i="4"/>
  <c r="P57" i="4"/>
  <c r="AJ57" i="4"/>
  <c r="BD57" i="4"/>
  <c r="BX57" i="4"/>
  <c r="CR58" i="4"/>
  <c r="AB58" i="4"/>
  <c r="L58" i="4"/>
  <c r="BP58" i="4"/>
  <c r="CF58" i="4"/>
  <c r="CZ58" i="4"/>
  <c r="AN61" i="4"/>
  <c r="BH61" i="4"/>
  <c r="CB61" i="4"/>
  <c r="CV32" i="4"/>
  <c r="AB33" i="4"/>
  <c r="AV33" i="4"/>
  <c r="BP33" i="4"/>
  <c r="CN33" i="4"/>
  <c r="DD33" i="4"/>
  <c r="T34" i="4"/>
  <c r="AN34" i="4"/>
  <c r="BT34" i="4"/>
  <c r="CR34" i="4"/>
  <c r="DH34" i="4"/>
  <c r="T35" i="4"/>
  <c r="AN35" i="4"/>
  <c r="AF36" i="4"/>
  <c r="AZ36" i="4"/>
  <c r="T38" i="4"/>
  <c r="AJ38" i="4"/>
  <c r="BX38" i="4"/>
  <c r="CR38" i="4"/>
  <c r="DL38" i="4"/>
  <c r="AR40" i="4"/>
  <c r="CB40" i="4"/>
  <c r="DL40" i="4"/>
  <c r="X43" i="4"/>
  <c r="AN43" i="4"/>
  <c r="BD43" i="4"/>
  <c r="CJ43" i="4"/>
  <c r="CZ43" i="4"/>
  <c r="DH45" i="4"/>
  <c r="DD47" i="4"/>
  <c r="T48" i="4"/>
  <c r="AJ48" i="4"/>
  <c r="CR48" i="4"/>
  <c r="DL48" i="4"/>
  <c r="BP50" i="4"/>
  <c r="T53" i="4"/>
  <c r="DD53" i="4"/>
  <c r="AJ54" i="4"/>
  <c r="BD54" i="4"/>
  <c r="CR54" i="4"/>
  <c r="DL54" i="4"/>
  <c r="CN55" i="4"/>
  <c r="P56" i="4"/>
  <c r="AF56" i="4"/>
  <c r="BT56" i="4"/>
  <c r="T57" i="4"/>
  <c r="BH57" i="4"/>
  <c r="CB57" i="4"/>
  <c r="CV57" i="4"/>
  <c r="AF58" i="4"/>
  <c r="AV58" i="4"/>
  <c r="CJ58" i="4"/>
  <c r="DD58" i="4"/>
  <c r="AR61" i="4"/>
  <c r="CF61" i="4"/>
  <c r="AB32" i="4"/>
  <c r="AV32" i="4"/>
  <c r="BL32" i="4"/>
  <c r="CF32" i="4"/>
  <c r="AF33" i="4"/>
  <c r="AZ33" i="4"/>
  <c r="BT33" i="4"/>
  <c r="DH33" i="4"/>
  <c r="X34" i="4"/>
  <c r="AR34" i="4"/>
  <c r="BX34" i="4"/>
  <c r="DL34" i="4"/>
  <c r="X35" i="4"/>
  <c r="P37" i="4"/>
  <c r="BD37" i="4"/>
  <c r="CR37" i="4"/>
  <c r="DH37" i="4"/>
  <c r="AN38" i="4"/>
  <c r="CB38" i="4"/>
  <c r="CV38" i="4"/>
  <c r="AV39" i="4"/>
  <c r="CJ39" i="4"/>
  <c r="CZ39" i="4"/>
  <c r="L40" i="4"/>
  <c r="AV40" i="4"/>
  <c r="CF40" i="4"/>
  <c r="AR41" i="4"/>
  <c r="AR43" i="4"/>
  <c r="CN43" i="4"/>
  <c r="L45" i="4"/>
  <c r="AJ45" i="4"/>
  <c r="BH45" i="4"/>
  <c r="CF45" i="4"/>
  <c r="DD45" i="4"/>
  <c r="CR47" i="4"/>
  <c r="DH47" i="4"/>
  <c r="CB48" i="4"/>
  <c r="DD49" i="4"/>
  <c r="AZ49" i="4"/>
  <c r="BX49" i="4"/>
  <c r="L50" i="4"/>
  <c r="AJ50" i="4"/>
  <c r="AV53" i="4"/>
  <c r="CB54" i="4"/>
  <c r="AR55" i="4"/>
  <c r="BX55" i="4"/>
  <c r="AJ56" i="4"/>
  <c r="BX56" i="4"/>
  <c r="AR57" i="4"/>
  <c r="BL57" i="4"/>
  <c r="AZ58" i="4"/>
  <c r="BT58" i="4"/>
  <c r="CN58" i="4"/>
  <c r="X61" i="4"/>
  <c r="AV61" i="4"/>
  <c r="BX33" i="4"/>
  <c r="DL33" i="4"/>
  <c r="CB34" i="4"/>
  <c r="CV34" i="4"/>
  <c r="CZ35" i="4"/>
  <c r="X38" i="4"/>
  <c r="AR38" i="4"/>
  <c r="BL38" i="4"/>
  <c r="CF38" i="4"/>
  <c r="BP40" i="4"/>
  <c r="CZ40" i="4"/>
  <c r="AF42" i="4"/>
  <c r="CZ42" i="4"/>
  <c r="BX43" i="4"/>
  <c r="DD43" i="4"/>
  <c r="X48" i="4"/>
  <c r="AR48" i="4"/>
  <c r="CF48" i="4"/>
  <c r="BT53" i="4"/>
  <c r="AR54" i="4"/>
  <c r="T56" i="4"/>
  <c r="AN56" i="4"/>
  <c r="CV56" i="4"/>
  <c r="AB57" i="4"/>
  <c r="AB61" i="4"/>
  <c r="AZ61" i="4"/>
  <c r="CN61" i="4"/>
  <c r="DD61" i="4"/>
  <c r="CB33" i="4"/>
  <c r="AB34" i="4"/>
  <c r="AV34" i="4"/>
  <c r="CF34" i="4"/>
  <c r="CZ34" i="4"/>
  <c r="DD35" i="4"/>
  <c r="AB38" i="4"/>
  <c r="AV38" i="4"/>
  <c r="CJ38" i="4"/>
  <c r="DH43" i="4"/>
  <c r="AV48" i="4"/>
  <c r="BP54" i="4"/>
  <c r="CB56" i="4"/>
  <c r="CN56" i="4"/>
  <c r="BH56" i="4"/>
  <c r="CF56" i="4"/>
  <c r="CZ56" i="4"/>
  <c r="BT57" i="4"/>
  <c r="CJ57" i="4"/>
  <c r="L61" i="4"/>
  <c r="BD61" i="4"/>
  <c r="DH61" i="4"/>
  <c r="AB17" i="4"/>
  <c r="BX17" i="4"/>
  <c r="CN18" i="4"/>
  <c r="BD18" i="4"/>
  <c r="P19" i="4"/>
  <c r="BD19" i="4"/>
  <c r="BT19" i="4"/>
  <c r="DH19" i="4"/>
  <c r="T20" i="4"/>
  <c r="AN20" i="4"/>
  <c r="BH20" i="4"/>
  <c r="BX20" i="4"/>
  <c r="DH20" i="4"/>
  <c r="T21" i="4"/>
  <c r="AR21" i="4"/>
  <c r="CN21" i="4"/>
  <c r="AR22" i="4"/>
  <c r="CB22" i="4"/>
  <c r="AJ23" i="4"/>
  <c r="DD23" i="4"/>
  <c r="CB24" i="4"/>
  <c r="AV25" i="4"/>
  <c r="BP25" i="4"/>
  <c r="CJ25" i="4"/>
  <c r="CZ25" i="4"/>
  <c r="L26" i="4"/>
  <c r="CN26" i="4"/>
  <c r="DD26" i="4"/>
  <c r="P27" i="4"/>
  <c r="BX27" i="4"/>
  <c r="X28" i="4"/>
  <c r="AN28" i="4"/>
  <c r="CB28" i="4"/>
  <c r="CZ29" i="4"/>
  <c r="CN30" i="4"/>
  <c r="CJ30" i="4"/>
  <c r="DD30" i="4"/>
  <c r="P31" i="4"/>
  <c r="BD31" i="4"/>
  <c r="CN31" i="4"/>
  <c r="T32" i="4"/>
  <c r="AN32" i="4"/>
  <c r="BT32" i="4"/>
  <c r="DH32" i="4"/>
  <c r="BH33" i="4"/>
  <c r="L34" i="4"/>
  <c r="AF34" i="4"/>
  <c r="AZ34" i="4"/>
  <c r="BP34" i="4"/>
  <c r="CJ34" i="4"/>
  <c r="BT35" i="4"/>
  <c r="DH35" i="4"/>
  <c r="BP36" i="4"/>
  <c r="AR37" i="4"/>
  <c r="CF37" i="4"/>
  <c r="CZ37" i="4"/>
  <c r="L38" i="4"/>
  <c r="CN38" i="4"/>
  <c r="DD38" i="4"/>
  <c r="AJ39" i="4"/>
  <c r="BX39" i="4"/>
  <c r="T40" i="4"/>
  <c r="CN40" i="4"/>
  <c r="T43" i="4"/>
  <c r="DL43" i="4"/>
  <c r="AN44" i="4"/>
  <c r="BX44" i="4"/>
  <c r="DH44" i="4"/>
  <c r="X45" i="4"/>
  <c r="AV45" i="4"/>
  <c r="BT45" i="4"/>
  <c r="CR45" i="4"/>
  <c r="DD46" i="4"/>
  <c r="AR46" i="4"/>
  <c r="CB46" i="4"/>
  <c r="DL46" i="4"/>
  <c r="CF47" i="4"/>
  <c r="L48" i="4"/>
  <c r="CN48" i="4"/>
  <c r="DD48" i="4"/>
  <c r="AN49" i="4"/>
  <c r="CJ49" i="4"/>
  <c r="X50" i="4"/>
  <c r="BT50" i="4"/>
  <c r="CR50" i="4"/>
  <c r="BL51" i="4"/>
  <c r="AV51" i="4"/>
  <c r="AN52" i="4"/>
  <c r="BD52" i="4"/>
  <c r="AJ53" i="4"/>
  <c r="DD54" i="4"/>
  <c r="P55" i="4"/>
  <c r="AZ55" i="4"/>
  <c r="BP55" i="4"/>
  <c r="CZ55" i="4"/>
  <c r="BL56" i="4"/>
  <c r="CJ56" i="4"/>
  <c r="AF57" i="4"/>
  <c r="CN57" i="4"/>
  <c r="DL57" i="4"/>
  <c r="AJ59" i="4"/>
  <c r="DD59" i="4"/>
  <c r="AJ61" i="4"/>
  <c r="BX61" i="4"/>
  <c r="DL61" i="4"/>
  <c r="T65" i="4"/>
  <c r="CB65" i="4"/>
  <c r="CV65" i="4"/>
  <c r="AB66" i="4"/>
  <c r="AV66" i="4"/>
  <c r="DD66" i="4"/>
  <c r="X68" i="4"/>
  <c r="AR68" i="4"/>
  <c r="BP68" i="4"/>
  <c r="BL72" i="4"/>
  <c r="AB73" i="4"/>
  <c r="BP73" i="4"/>
  <c r="DD73" i="4"/>
  <c r="AB75" i="4"/>
  <c r="BP75" i="4"/>
  <c r="CN75" i="4"/>
  <c r="DH75" i="4"/>
  <c r="E5" i="7"/>
  <c r="E9" i="7"/>
  <c r="AM11" i="7"/>
  <c r="AN11" i="7" s="1"/>
  <c r="E12" i="7"/>
  <c r="AB72" i="4"/>
  <c r="AR72" i="4"/>
  <c r="BP72" i="4"/>
  <c r="AF75" i="4"/>
  <c r="BT75" i="4"/>
  <c r="DL75" i="4"/>
  <c r="K7" i="7"/>
  <c r="L7" i="7" s="1"/>
  <c r="S7" i="7"/>
  <c r="T7" i="7" s="1"/>
  <c r="BW7" i="7"/>
  <c r="BX7" i="7" s="1"/>
  <c r="DC7" i="7"/>
  <c r="DD7" i="7" s="1"/>
  <c r="K11" i="7"/>
  <c r="L11" i="7" s="1"/>
  <c r="AB65" i="4"/>
  <c r="AV65" i="4"/>
  <c r="BL65" i="4"/>
  <c r="DD65" i="4"/>
  <c r="AF68" i="4"/>
  <c r="AZ68" i="4"/>
  <c r="CR68" i="4"/>
  <c r="DL68" i="4"/>
  <c r="AV72" i="4"/>
  <c r="DD72" i="4"/>
  <c r="BD73" i="4"/>
  <c r="CN73" i="4"/>
  <c r="DL73" i="4"/>
  <c r="L75" i="4"/>
  <c r="BD75" i="4"/>
  <c r="BX75" i="4"/>
  <c r="CV75" i="4"/>
  <c r="AQ11" i="7"/>
  <c r="AR11" i="7" s="1"/>
  <c r="BP15" i="7"/>
  <c r="BS15" i="7"/>
  <c r="BT15" i="7" s="1"/>
  <c r="AF61" i="4"/>
  <c r="BL61" i="4"/>
  <c r="CV61" i="4"/>
  <c r="CN62" i="4"/>
  <c r="BT62" i="4"/>
  <c r="DL62" i="4"/>
  <c r="AR64" i="4"/>
  <c r="BL64" i="4"/>
  <c r="AF65" i="4"/>
  <c r="BP65" i="4"/>
  <c r="CJ65" i="4"/>
  <c r="AN66" i="4"/>
  <c r="BH66" i="4"/>
  <c r="CB66" i="4"/>
  <c r="CV66" i="4"/>
  <c r="L68" i="4"/>
  <c r="BD68" i="4"/>
  <c r="AF69" i="4"/>
  <c r="BT69" i="4"/>
  <c r="DL69" i="4"/>
  <c r="AB71" i="4"/>
  <c r="AV71" i="4"/>
  <c r="BP71" i="4"/>
  <c r="DD71" i="4"/>
  <c r="AZ72" i="4"/>
  <c r="CN72" i="4"/>
  <c r="DH72" i="4"/>
  <c r="AN73" i="4"/>
  <c r="CR73" i="4"/>
  <c r="AF74" i="4"/>
  <c r="BD74" i="4"/>
  <c r="CZ74" i="4"/>
  <c r="P75" i="4"/>
  <c r="CZ75" i="4"/>
  <c r="AZ11" i="7"/>
  <c r="DH55" i="4"/>
  <c r="AV57" i="4"/>
  <c r="AR58" i="4"/>
  <c r="BP60" i="4"/>
  <c r="P61" i="4"/>
  <c r="BP61" i="4"/>
  <c r="CZ61" i="4"/>
  <c r="L62" i="4"/>
  <c r="AF62" i="4"/>
  <c r="AZ62" i="4"/>
  <c r="CV63" i="4"/>
  <c r="AV64" i="4"/>
  <c r="BP64" i="4"/>
  <c r="CJ64" i="4"/>
  <c r="CZ64" i="4"/>
  <c r="AJ65" i="4"/>
  <c r="BT65" i="4"/>
  <c r="CN65" i="4"/>
  <c r="T66" i="4"/>
  <c r="BL66" i="4"/>
  <c r="AB67" i="4"/>
  <c r="CF67" i="4"/>
  <c r="CZ67" i="4"/>
  <c r="BH68" i="4"/>
  <c r="CZ68" i="4"/>
  <c r="L69" i="4"/>
  <c r="BD69" i="4"/>
  <c r="BX69" i="4"/>
  <c r="CV69" i="4"/>
  <c r="AR70" i="4"/>
  <c r="BL70" i="4"/>
  <c r="CZ70" i="4"/>
  <c r="AF71" i="4"/>
  <c r="CJ71" i="4"/>
  <c r="AJ72" i="4"/>
  <c r="BD72" i="4"/>
  <c r="T73" i="4"/>
  <c r="AR73" i="4"/>
  <c r="CB73" i="4"/>
  <c r="CV73" i="4"/>
  <c r="L74" i="4"/>
  <c r="BH74" i="4"/>
  <c r="CF74" i="4"/>
  <c r="T75" i="4"/>
  <c r="BL75" i="4"/>
  <c r="CF75" i="4"/>
  <c r="DD56" i="4"/>
  <c r="BP57" i="4"/>
  <c r="CZ57" i="4"/>
  <c r="BL58" i="4"/>
  <c r="CB58" i="4"/>
  <c r="DH58" i="4"/>
  <c r="X59" i="4"/>
  <c r="CN60" i="4"/>
  <c r="T61" i="4"/>
  <c r="CJ61" i="4"/>
  <c r="P62" i="4"/>
  <c r="AJ62" i="4"/>
  <c r="BD62" i="4"/>
  <c r="CB62" i="4"/>
  <c r="CV62" i="4"/>
  <c r="BD63" i="4"/>
  <c r="BT64" i="4"/>
  <c r="CN64" i="4"/>
  <c r="DD64" i="4"/>
  <c r="P65" i="4"/>
  <c r="BX65" i="4"/>
  <c r="CR65" i="4"/>
  <c r="BP66" i="4"/>
  <c r="L67" i="4"/>
  <c r="AF67" i="4"/>
  <c r="AZ67" i="4"/>
  <c r="BP67" i="4"/>
  <c r="DD67" i="4"/>
  <c r="AN68" i="4"/>
  <c r="CF68" i="4"/>
  <c r="P69" i="4"/>
  <c r="CZ69" i="4"/>
  <c r="AB70" i="4"/>
  <c r="AV70" i="4"/>
  <c r="BP70" i="4"/>
  <c r="CJ70" i="4"/>
  <c r="DD70" i="4"/>
  <c r="AJ71" i="4"/>
  <c r="CN71" i="4"/>
  <c r="T72" i="4"/>
  <c r="AN72" i="4"/>
  <c r="BH72" i="4"/>
  <c r="CB72" i="4"/>
  <c r="CV72" i="4"/>
  <c r="X73" i="4"/>
  <c r="BL73" i="4"/>
  <c r="CF73" i="4"/>
  <c r="CZ73" i="4"/>
  <c r="AR75" i="4"/>
  <c r="CJ75" i="4"/>
  <c r="AM7" i="7"/>
  <c r="AN7" i="7" s="1"/>
  <c r="AY7" i="7"/>
  <c r="AZ7" i="7" s="1"/>
  <c r="BK7" i="7"/>
  <c r="BL7" i="7" s="1"/>
  <c r="CE7" i="7"/>
  <c r="CF7" i="7" s="1"/>
  <c r="CM7" i="7"/>
  <c r="CN7" i="7" s="1"/>
  <c r="E10" i="7"/>
  <c r="BO11" i="7"/>
  <c r="BP11" i="7" s="1"/>
  <c r="CQ11" i="7"/>
  <c r="CR11" i="7" s="1"/>
  <c r="AQ15" i="7"/>
  <c r="AR15" i="7" s="1"/>
  <c r="DH43" i="7"/>
  <c r="AY15" i="7"/>
  <c r="AZ15" i="7" s="1"/>
  <c r="DC15" i="7"/>
  <c r="DD15" i="7" s="1"/>
  <c r="DK15" i="7"/>
  <c r="DL15" i="7" s="1"/>
  <c r="S19" i="7"/>
  <c r="T19" i="7" s="1"/>
  <c r="AU19" i="7"/>
  <c r="AV19" i="7" s="1"/>
  <c r="AA23" i="7"/>
  <c r="AB23" i="7" s="1"/>
  <c r="AU23" i="7"/>
  <c r="AV23" i="7" s="1"/>
  <c r="BW23" i="7"/>
  <c r="BX23" i="7" s="1"/>
  <c r="CI23" i="7"/>
  <c r="CJ23" i="7" s="1"/>
  <c r="DC23" i="7"/>
  <c r="DD23" i="7" s="1"/>
  <c r="K27" i="7"/>
  <c r="L27" i="7" s="1"/>
  <c r="AQ27" i="7"/>
  <c r="AR27" i="7" s="1"/>
  <c r="CE27" i="7"/>
  <c r="CF27" i="7" s="1"/>
  <c r="DK27" i="7"/>
  <c r="DL27" i="7" s="1"/>
  <c r="AY31" i="7"/>
  <c r="AZ31" i="7" s="1"/>
  <c r="BS31" i="7"/>
  <c r="BT31" i="7" s="1"/>
  <c r="E32" i="7"/>
  <c r="AA35" i="7"/>
  <c r="AB35" i="7" s="1"/>
  <c r="BG35" i="7"/>
  <c r="BH35" i="7" s="1"/>
  <c r="O39" i="7"/>
  <c r="P39" i="7" s="1"/>
  <c r="AI39" i="7"/>
  <c r="AJ39" i="7" s="1"/>
  <c r="AQ39" i="7"/>
  <c r="AR39" i="7" s="1"/>
  <c r="CI39" i="7"/>
  <c r="CJ39" i="7" s="1"/>
  <c r="DC39" i="7"/>
  <c r="DD39" i="7" s="1"/>
  <c r="DK39" i="7"/>
  <c r="DL39" i="7" s="1"/>
  <c r="DK43" i="7"/>
  <c r="DL43" i="7" s="1"/>
  <c r="E46" i="7"/>
  <c r="K47" i="7"/>
  <c r="L47" i="7" s="1"/>
  <c r="W47" i="7"/>
  <c r="X47" i="7" s="1"/>
  <c r="AI47" i="7"/>
  <c r="AJ47" i="7" s="1"/>
  <c r="AU47" i="7"/>
  <c r="AV47" i="7" s="1"/>
  <c r="BG47" i="7"/>
  <c r="BH47" i="7" s="1"/>
  <c r="BS47" i="7"/>
  <c r="BT47" i="7" s="1"/>
  <c r="CE47" i="7"/>
  <c r="CF47" i="7" s="1"/>
  <c r="CQ47" i="7"/>
  <c r="CR47" i="7" s="1"/>
  <c r="DC47" i="7"/>
  <c r="DD47" i="7" s="1"/>
  <c r="K51" i="7"/>
  <c r="L51" i="7" s="1"/>
  <c r="AE51" i="7"/>
  <c r="AF51" i="7" s="1"/>
  <c r="CE51" i="7"/>
  <c r="CF51" i="7" s="1"/>
  <c r="CY51" i="7"/>
  <c r="CZ51" i="7" s="1"/>
  <c r="E53" i="7"/>
  <c r="S55" i="7"/>
  <c r="T55" i="7" s="1"/>
  <c r="AE55" i="7"/>
  <c r="AF55" i="7" s="1"/>
  <c r="AQ55" i="7"/>
  <c r="AR55" i="7" s="1"/>
  <c r="BC55" i="7"/>
  <c r="BD55" i="7" s="1"/>
  <c r="BO55" i="7"/>
  <c r="BP55" i="7" s="1"/>
  <c r="CA55" i="7"/>
  <c r="CB55" i="7" s="1"/>
  <c r="CM55" i="7"/>
  <c r="CN55" i="7" s="1"/>
  <c r="CY55" i="7"/>
  <c r="CZ55" i="7" s="1"/>
  <c r="DK55" i="7"/>
  <c r="DL55" i="7" s="1"/>
  <c r="S59" i="7"/>
  <c r="T59" i="7" s="1"/>
  <c r="BS59" i="7"/>
  <c r="BT59" i="7" s="1"/>
  <c r="CM59" i="7"/>
  <c r="CN59" i="7" s="1"/>
  <c r="E22" i="7"/>
  <c r="E26" i="7"/>
  <c r="E30" i="7"/>
  <c r="E33" i="7"/>
  <c r="E42" i="7"/>
  <c r="CJ43" i="7"/>
  <c r="E45" i="7"/>
  <c r="CR51" i="7"/>
  <c r="BG55" i="7"/>
  <c r="BH55" i="7" s="1"/>
  <c r="BS55" i="7"/>
  <c r="BT55" i="7" s="1"/>
  <c r="CE55" i="7"/>
  <c r="CF55" i="7" s="1"/>
  <c r="CQ55" i="7"/>
  <c r="CR55" i="7" s="1"/>
  <c r="DC55" i="7"/>
  <c r="DD55" i="7" s="1"/>
  <c r="E61" i="7"/>
  <c r="DL67" i="7"/>
  <c r="S67" i="7"/>
  <c r="T67" i="7" s="1"/>
  <c r="BS67" i="7"/>
  <c r="BT67" i="7" s="1"/>
  <c r="CM67" i="7"/>
  <c r="CN67" i="7" s="1"/>
  <c r="AI27" i="7"/>
  <c r="AJ27" i="7" s="1"/>
  <c r="DC27" i="7"/>
  <c r="DD27" i="7" s="1"/>
  <c r="P35" i="7"/>
  <c r="BO39" i="7"/>
  <c r="BP39" i="7" s="1"/>
  <c r="T47" i="7"/>
  <c r="DD51" i="7"/>
  <c r="CR59" i="7"/>
  <c r="BK15" i="7"/>
  <c r="BL15" i="7" s="1"/>
  <c r="E16" i="7"/>
  <c r="DC19" i="7"/>
  <c r="DD19" i="7" s="1"/>
  <c r="E20" i="7"/>
  <c r="AY23" i="7"/>
  <c r="AZ23" i="7" s="1"/>
  <c r="E24" i="7"/>
  <c r="AU27" i="7"/>
  <c r="AV27" i="7" s="1"/>
  <c r="K35" i="7"/>
  <c r="L35" i="7" s="1"/>
  <c r="E37" i="7"/>
  <c r="CA39" i="7"/>
  <c r="CB39" i="7" s="1"/>
  <c r="E40" i="7"/>
  <c r="AJ43" i="7"/>
  <c r="O47" i="7"/>
  <c r="P47" i="7" s="1"/>
  <c r="AA47" i="7"/>
  <c r="AB47" i="7" s="1"/>
  <c r="AM47" i="7"/>
  <c r="AN47" i="7" s="1"/>
  <c r="AY47" i="7"/>
  <c r="AZ47" i="7" s="1"/>
  <c r="BK47" i="7"/>
  <c r="BL47" i="7" s="1"/>
  <c r="BW47" i="7"/>
  <c r="BX47" i="7" s="1"/>
  <c r="CI47" i="7"/>
  <c r="CJ47" i="7" s="1"/>
  <c r="CU47" i="7"/>
  <c r="CV47" i="7" s="1"/>
  <c r="DG47" i="7"/>
  <c r="DH47" i="7" s="1"/>
  <c r="E56" i="7"/>
  <c r="W11" i="7"/>
  <c r="X11" i="7" s="1"/>
  <c r="CA11" i="7"/>
  <c r="CB11" i="7" s="1"/>
  <c r="K15" i="7"/>
  <c r="L15" i="7" s="1"/>
  <c r="AA15" i="7"/>
  <c r="AB15" i="7" s="1"/>
  <c r="CQ15" i="7"/>
  <c r="CR15" i="7" s="1"/>
  <c r="BS19" i="7"/>
  <c r="BT19" i="7" s="1"/>
  <c r="CM19" i="7"/>
  <c r="CN19" i="7" s="1"/>
  <c r="AI23" i="7"/>
  <c r="AJ23" i="7" s="1"/>
  <c r="CE23" i="7"/>
  <c r="CF23" i="7" s="1"/>
  <c r="S27" i="7"/>
  <c r="T27" i="7" s="1"/>
  <c r="BG27" i="7"/>
  <c r="BH27" i="7" s="1"/>
  <c r="CM27" i="7"/>
  <c r="CN27" i="7" s="1"/>
  <c r="AA31" i="7"/>
  <c r="AB31" i="7" s="1"/>
  <c r="AU31" i="7"/>
  <c r="AV31" i="7" s="1"/>
  <c r="CU31" i="7"/>
  <c r="CV31" i="7" s="1"/>
  <c r="E34" i="7"/>
  <c r="AQ35" i="7"/>
  <c r="AR35" i="7" s="1"/>
  <c r="CE35" i="7"/>
  <c r="CF35" i="7" s="1"/>
  <c r="K39" i="7"/>
  <c r="L39" i="7" s="1"/>
  <c r="CE39" i="7"/>
  <c r="CF39" i="7" s="1"/>
  <c r="BC43" i="7"/>
  <c r="BD43" i="7" s="1"/>
  <c r="BG51" i="7"/>
  <c r="BH51" i="7" s="1"/>
  <c r="CA51" i="7"/>
  <c r="CB51" i="7" s="1"/>
  <c r="AU59" i="7"/>
  <c r="AV59" i="7" s="1"/>
  <c r="BO59" i="7"/>
  <c r="BP59" i="7" s="1"/>
  <c r="O63" i="7"/>
  <c r="P63" i="7" s="1"/>
  <c r="AA63" i="7"/>
  <c r="AB63" i="7" s="1"/>
  <c r="AM63" i="7"/>
  <c r="AN63" i="7" s="1"/>
  <c r="AY63" i="7"/>
  <c r="AZ63" i="7" s="1"/>
  <c r="BK63" i="7"/>
  <c r="BL63" i="7" s="1"/>
  <c r="BW63" i="7"/>
  <c r="BX63" i="7" s="1"/>
  <c r="CI63" i="7"/>
  <c r="CJ63" i="7" s="1"/>
  <c r="CU63" i="7"/>
  <c r="CV63" i="7" s="1"/>
  <c r="DG63" i="7"/>
  <c r="DH63" i="7" s="1"/>
  <c r="E64" i="7"/>
  <c r="AI67" i="7"/>
  <c r="AJ67" i="7" s="1"/>
  <c r="BC67" i="7"/>
  <c r="BD67" i="7" s="1"/>
  <c r="DC67" i="7"/>
  <c r="DD67" i="7" s="1"/>
  <c r="DL6" i="4"/>
  <c r="CZ6" i="4"/>
  <c r="CN6" i="4"/>
  <c r="CB6" i="4"/>
  <c r="BP6" i="4"/>
  <c r="BD6" i="4"/>
  <c r="AR6" i="4"/>
  <c r="AF6" i="4"/>
  <c r="T6" i="4"/>
  <c r="DH6" i="4"/>
  <c r="CV6" i="4"/>
  <c r="CJ6" i="4"/>
  <c r="BX6" i="4"/>
  <c r="BL6" i="4"/>
  <c r="AZ6" i="4"/>
  <c r="AN6" i="4"/>
  <c r="AB6" i="4"/>
  <c r="P6" i="4"/>
  <c r="L6" i="4"/>
  <c r="AJ6" i="4"/>
  <c r="BH6" i="4"/>
  <c r="CF6" i="4"/>
  <c r="DD6" i="4"/>
  <c r="T5" i="4"/>
  <c r="AF5" i="4"/>
  <c r="AR5" i="4"/>
  <c r="BD5" i="4"/>
  <c r="BP5" i="4"/>
  <c r="CB5" i="4"/>
  <c r="CN5" i="4"/>
  <c r="CZ5" i="4"/>
  <c r="T8" i="4"/>
  <c r="AF8" i="4"/>
  <c r="AR8" i="4"/>
  <c r="BD8" i="4"/>
  <c r="BP8" i="4"/>
  <c r="CB8" i="4"/>
  <c r="CN8" i="4"/>
  <c r="CZ8" i="4"/>
  <c r="P9" i="4"/>
  <c r="AB9" i="4"/>
  <c r="AN9" i="4"/>
  <c r="AZ9" i="4"/>
  <c r="BL9" i="4"/>
  <c r="BX9" i="4"/>
  <c r="CJ9" i="4"/>
  <c r="CV9" i="4"/>
  <c r="DH9" i="4"/>
  <c r="T11" i="4"/>
  <c r="AF11" i="4"/>
  <c r="AR11" i="4"/>
  <c r="BD11" i="4"/>
  <c r="BP11" i="4"/>
  <c r="CB11" i="4"/>
  <c r="CN11" i="4"/>
  <c r="CZ11" i="4"/>
  <c r="P12" i="4"/>
  <c r="AB12" i="4"/>
  <c r="AN12" i="4"/>
  <c r="AZ12" i="4"/>
  <c r="BL12" i="4"/>
  <c r="BX12" i="4"/>
  <c r="CJ12" i="4"/>
  <c r="CV12" i="4"/>
  <c r="DH12" i="4"/>
  <c r="AJ17" i="4"/>
  <c r="BP17" i="4"/>
  <c r="CF17" i="4"/>
  <c r="CV17" i="4"/>
  <c r="DL17" i="4"/>
  <c r="AJ18" i="4"/>
  <c r="BL18" i="4"/>
  <c r="CB18" i="4"/>
  <c r="CR18" i="4"/>
  <c r="DH18" i="4"/>
  <c r="AF21" i="4"/>
  <c r="BL21" i="4"/>
  <c r="CB21" i="4"/>
  <c r="CR21" i="4"/>
  <c r="DH21" i="4"/>
  <c r="T23" i="4"/>
  <c r="AZ23" i="4"/>
  <c r="BP23" i="4"/>
  <c r="X29" i="4"/>
  <c r="AN29" i="4"/>
  <c r="BX29" i="4"/>
  <c r="CN29" i="4"/>
  <c r="CB36" i="4"/>
  <c r="CR15" i="4"/>
  <c r="DH15" i="4"/>
  <c r="AN17" i="4"/>
  <c r="BT17" i="4"/>
  <c r="T18" i="4"/>
  <c r="CF18" i="4"/>
  <c r="AJ21" i="4"/>
  <c r="BP21" i="4"/>
  <c r="BD23" i="4"/>
  <c r="BT23" i="4"/>
  <c r="CZ23" i="4"/>
  <c r="AR24" i="4"/>
  <c r="BX24" i="4"/>
  <c r="CN24" i="4"/>
  <c r="L29" i="4"/>
  <c r="AR29" i="4"/>
  <c r="BH29" i="4"/>
  <c r="AB36" i="4"/>
  <c r="BL36" i="4"/>
  <c r="CV36" i="4"/>
  <c r="T9" i="4"/>
  <c r="AF9" i="4"/>
  <c r="AR9" i="4"/>
  <c r="BD9" i="4"/>
  <c r="BP9" i="4"/>
  <c r="CB9" i="4"/>
  <c r="CN9" i="4"/>
  <c r="CZ9" i="4"/>
  <c r="T12" i="4"/>
  <c r="AF12" i="4"/>
  <c r="AR12" i="4"/>
  <c r="BD12" i="4"/>
  <c r="BP12" i="4"/>
  <c r="CB12" i="4"/>
  <c r="CN12" i="4"/>
  <c r="CZ12" i="4"/>
  <c r="X18" i="4"/>
  <c r="AN18" i="4"/>
  <c r="BP18" i="4"/>
  <c r="CV18" i="4"/>
  <c r="DL18" i="4"/>
  <c r="X21" i="4"/>
  <c r="AN21" i="4"/>
  <c r="BT21" i="4"/>
  <c r="CV21" i="4"/>
  <c r="DL21" i="4"/>
  <c r="X23" i="4"/>
  <c r="AN23" i="4"/>
  <c r="BX23" i="4"/>
  <c r="CN23" i="4"/>
  <c r="CZ36" i="4"/>
  <c r="AN15" i="4"/>
  <c r="BT15" i="4"/>
  <c r="CV15" i="4"/>
  <c r="BH17" i="4"/>
  <c r="L18" i="4"/>
  <c r="BT18" i="4"/>
  <c r="CZ18" i="4"/>
  <c r="BD21" i="4"/>
  <c r="L23" i="4"/>
  <c r="AR23" i="4"/>
  <c r="BH23" i="4"/>
  <c r="P24" i="4"/>
  <c r="AF24" i="4"/>
  <c r="BL24" i="4"/>
  <c r="DL24" i="4"/>
  <c r="AF29" i="4"/>
  <c r="CF29" i="4"/>
  <c r="DL29" i="4"/>
  <c r="AJ36" i="4"/>
  <c r="BT36" i="4"/>
  <c r="DD36" i="4"/>
  <c r="BD15" i="4"/>
  <c r="BL17" i="4"/>
  <c r="BH18" i="4"/>
  <c r="BX18" i="4"/>
  <c r="DD18" i="4"/>
  <c r="BH21" i="4"/>
  <c r="BL23" i="4"/>
  <c r="DH23" i="4"/>
  <c r="AJ24" i="4"/>
  <c r="CF24" i="4"/>
  <c r="AZ29" i="4"/>
  <c r="AR35" i="4"/>
  <c r="BH35" i="4"/>
  <c r="CB35" i="4"/>
  <c r="DL35" i="4"/>
  <c r="T36" i="4"/>
  <c r="AN36" i="4"/>
  <c r="BD36" i="4"/>
  <c r="BX36" i="4"/>
  <c r="DH36" i="4"/>
  <c r="T14" i="4"/>
  <c r="AF14" i="4"/>
  <c r="AR14" i="4"/>
  <c r="BD14" i="4"/>
  <c r="BP14" i="4"/>
  <c r="CB14" i="4"/>
  <c r="CN14" i="4"/>
  <c r="CZ14" i="4"/>
  <c r="P15" i="4"/>
  <c r="BH15" i="4"/>
  <c r="AZ17" i="4"/>
  <c r="DH17" i="4"/>
  <c r="AF18" i="4"/>
  <c r="AV21" i="4"/>
  <c r="DD21" i="4"/>
  <c r="CF23" i="4"/>
  <c r="DL23" i="4"/>
  <c r="CJ24" i="4"/>
  <c r="CZ24" i="4"/>
  <c r="BD29" i="4"/>
  <c r="BT29" i="4"/>
  <c r="AR30" i="4"/>
  <c r="BX30" i="4"/>
  <c r="L35" i="4"/>
  <c r="BL35" i="4"/>
  <c r="CF35" i="4"/>
  <c r="X36" i="4"/>
  <c r="AR36" i="4"/>
  <c r="CR36" i="4"/>
  <c r="DL36" i="4"/>
  <c r="T42" i="4"/>
  <c r="AJ42" i="4"/>
  <c r="BL42" i="4"/>
  <c r="CN42" i="4"/>
  <c r="DD42" i="4"/>
  <c r="T45" i="4"/>
  <c r="AF45" i="4"/>
  <c r="AR45" i="4"/>
  <c r="BD45" i="4"/>
  <c r="BP45" i="4"/>
  <c r="CB45" i="4"/>
  <c r="CN45" i="4"/>
  <c r="CZ45" i="4"/>
  <c r="DL45" i="4"/>
  <c r="T49" i="4"/>
  <c r="BL49" i="4"/>
  <c r="P50" i="4"/>
  <c r="BL50" i="4"/>
  <c r="CN50" i="4"/>
  <c r="DD50" i="4"/>
  <c r="BL59" i="4"/>
  <c r="CF59" i="4"/>
  <c r="X42" i="4"/>
  <c r="AZ42" i="4"/>
  <c r="CB42" i="4"/>
  <c r="CR42" i="4"/>
  <c r="CF49" i="4"/>
  <c r="BT49" i="4"/>
  <c r="BH49" i="4"/>
  <c r="AV49" i="4"/>
  <c r="AJ49" i="4"/>
  <c r="X49" i="4"/>
  <c r="L49" i="4"/>
  <c r="CR49" i="4"/>
  <c r="DH49" i="4"/>
  <c r="AV50" i="4"/>
  <c r="CB50" i="4"/>
  <c r="DH50" i="4"/>
  <c r="CZ59" i="4"/>
  <c r="AF59" i="4"/>
  <c r="DL59" i="4"/>
  <c r="AR59" i="4"/>
  <c r="BD59" i="4"/>
  <c r="BP59" i="4"/>
  <c r="AZ35" i="4"/>
  <c r="L36" i="4"/>
  <c r="CF36" i="4"/>
  <c r="AZ41" i="4"/>
  <c r="CB41" i="4"/>
  <c r="L42" i="4"/>
  <c r="AN42" i="4"/>
  <c r="CF42" i="4"/>
  <c r="DH42" i="4"/>
  <c r="DH48" i="4"/>
  <c r="CV48" i="4"/>
  <c r="CJ48" i="4"/>
  <c r="BX48" i="4"/>
  <c r="BL48" i="4"/>
  <c r="AZ48" i="4"/>
  <c r="AN48" i="4"/>
  <c r="AB48" i="4"/>
  <c r="P48" i="4"/>
  <c r="DL49" i="4"/>
  <c r="T50" i="4"/>
  <c r="AZ50" i="4"/>
  <c r="X53" i="4"/>
  <c r="BX53" i="4"/>
  <c r="CR53" i="4"/>
  <c r="L59" i="4"/>
  <c r="AV59" i="4"/>
  <c r="BT59" i="4"/>
  <c r="AB42" i="4"/>
  <c r="BD42" i="4"/>
  <c r="BT42" i="4"/>
  <c r="CV42" i="4"/>
  <c r="BD49" i="4"/>
  <c r="CV49" i="4"/>
  <c r="CZ50" i="4"/>
  <c r="AF50" i="4"/>
  <c r="AN50" i="4"/>
  <c r="CF50" i="4"/>
  <c r="CV50" i="4"/>
  <c r="DL50" i="4"/>
  <c r="BD53" i="4"/>
  <c r="BP53" i="4"/>
  <c r="CB53" i="4"/>
  <c r="AR53" i="4"/>
  <c r="BH53" i="4"/>
  <c r="DL53" i="4"/>
  <c r="AZ59" i="4"/>
  <c r="CN59" i="4"/>
  <c r="AB23" i="4"/>
  <c r="CV23" i="4"/>
  <c r="BH24" i="4"/>
  <c r="X27" i="4"/>
  <c r="CR27" i="4"/>
  <c r="AB29" i="4"/>
  <c r="CV29" i="4"/>
  <c r="BH30" i="4"/>
  <c r="X33" i="4"/>
  <c r="CR33" i="4"/>
  <c r="AB35" i="4"/>
  <c r="CV35" i="4"/>
  <c r="BH36" i="4"/>
  <c r="X39" i="4"/>
  <c r="CR39" i="4"/>
  <c r="AB41" i="4"/>
  <c r="BD41" i="4"/>
  <c r="CV41" i="4"/>
  <c r="P42" i="4"/>
  <c r="BH42" i="4"/>
  <c r="CJ42" i="4"/>
  <c r="T44" i="4"/>
  <c r="AF44" i="4"/>
  <c r="AR44" i="4"/>
  <c r="BD44" i="4"/>
  <c r="BP44" i="4"/>
  <c r="CB44" i="4"/>
  <c r="CN44" i="4"/>
  <c r="CZ44" i="4"/>
  <c r="P45" i="4"/>
  <c r="AB45" i="4"/>
  <c r="AN45" i="4"/>
  <c r="AZ45" i="4"/>
  <c r="BL45" i="4"/>
  <c r="BX45" i="4"/>
  <c r="CJ45" i="4"/>
  <c r="CV45" i="4"/>
  <c r="L46" i="4"/>
  <c r="X46" i="4"/>
  <c r="AJ46" i="4"/>
  <c r="AV46" i="4"/>
  <c r="BH46" i="4"/>
  <c r="BT46" i="4"/>
  <c r="CF46" i="4"/>
  <c r="CR46" i="4"/>
  <c r="CZ49" i="4"/>
  <c r="BD50" i="4"/>
  <c r="CJ50" i="4"/>
  <c r="AN51" i="4"/>
  <c r="BT51" i="4"/>
  <c r="L53" i="4"/>
  <c r="BL53" i="4"/>
  <c r="CF53" i="4"/>
  <c r="CR59" i="4"/>
  <c r="CF15" i="4"/>
  <c r="P17" i="4"/>
  <c r="CJ17" i="4"/>
  <c r="AV18" i="4"/>
  <c r="AZ20" i="4"/>
  <c r="L21" i="4"/>
  <c r="CF21" i="4"/>
  <c r="P23" i="4"/>
  <c r="CJ23" i="4"/>
  <c r="AV24" i="4"/>
  <c r="AZ26" i="4"/>
  <c r="L27" i="4"/>
  <c r="CF27" i="4"/>
  <c r="P29" i="4"/>
  <c r="CJ29" i="4"/>
  <c r="AV30" i="4"/>
  <c r="AZ32" i="4"/>
  <c r="L33" i="4"/>
  <c r="CF33" i="4"/>
  <c r="P35" i="4"/>
  <c r="CJ35" i="4"/>
  <c r="AV36" i="4"/>
  <c r="AZ38" i="4"/>
  <c r="L39" i="4"/>
  <c r="CF39" i="4"/>
  <c r="P41" i="4"/>
  <c r="CJ41" i="4"/>
  <c r="AV42" i="4"/>
  <c r="CN49" i="4"/>
  <c r="AB50" i="4"/>
  <c r="AR50" i="4"/>
  <c r="BH50" i="4"/>
  <c r="L51" i="4"/>
  <c r="AB51" i="4"/>
  <c r="CJ51" i="4"/>
  <c r="P53" i="4"/>
  <c r="AF53" i="4"/>
  <c r="CJ53" i="4"/>
  <c r="CZ53" i="4"/>
  <c r="CJ54" i="4"/>
  <c r="P54" i="4"/>
  <c r="CV54" i="4"/>
  <c r="AB54" i="4"/>
  <c r="DH54" i="4"/>
  <c r="AN54" i="4"/>
  <c r="AV54" i="4"/>
  <c r="BL54" i="4"/>
  <c r="T59" i="4"/>
  <c r="BH59" i="4"/>
  <c r="CB59" i="4"/>
  <c r="BL60" i="4"/>
  <c r="BX60" i="4"/>
  <c r="CJ60" i="4"/>
  <c r="P60" i="4"/>
  <c r="CV60" i="4"/>
  <c r="AB60" i="4"/>
  <c r="AF60" i="4"/>
  <c r="CJ63" i="4"/>
  <c r="BX63" i="4"/>
  <c r="CN63" i="4"/>
  <c r="AN59" i="4"/>
  <c r="DH59" i="4"/>
  <c r="BT60" i="4"/>
  <c r="L63" i="4"/>
  <c r="BH63" i="4"/>
  <c r="CR63" i="4"/>
  <c r="AZ53" i="4"/>
  <c r="L54" i="4"/>
  <c r="CF54" i="4"/>
  <c r="DD57" i="4"/>
  <c r="AB59" i="4"/>
  <c r="CV59" i="4"/>
  <c r="BH60" i="4"/>
  <c r="AN62" i="4"/>
  <c r="AF63" i="4"/>
  <c r="BL63" i="4"/>
  <c r="CB63" i="4"/>
  <c r="DL63" i="4"/>
  <c r="AN53" i="4"/>
  <c r="DH53" i="4"/>
  <c r="BT54" i="4"/>
  <c r="X57" i="4"/>
  <c r="AZ57" i="4"/>
  <c r="CR57" i="4"/>
  <c r="P59" i="4"/>
  <c r="CJ59" i="4"/>
  <c r="AV60" i="4"/>
  <c r="AR62" i="4"/>
  <c r="BH62" i="4"/>
  <c r="CF63" i="4"/>
  <c r="T47" i="4"/>
  <c r="AF47" i="4"/>
  <c r="AR47" i="4"/>
  <c r="BD47" i="4"/>
  <c r="BP47" i="4"/>
  <c r="CB47" i="4"/>
  <c r="CN47" i="4"/>
  <c r="CZ47" i="4"/>
  <c r="BX50" i="4"/>
  <c r="AJ51" i="4"/>
  <c r="DD51" i="4"/>
  <c r="AB53" i="4"/>
  <c r="CV53" i="4"/>
  <c r="BH54" i="4"/>
  <c r="AZ56" i="4"/>
  <c r="L57" i="4"/>
  <c r="AN57" i="4"/>
  <c r="CF57" i="4"/>
  <c r="BX59" i="4"/>
  <c r="AJ60" i="4"/>
  <c r="DD60" i="4"/>
  <c r="AB62" i="4"/>
  <c r="BL62" i="4"/>
  <c r="DH62" i="4"/>
  <c r="T63" i="4"/>
  <c r="CZ63" i="4"/>
  <c r="CN68" i="4"/>
  <c r="AV68" i="4"/>
  <c r="T68" i="4"/>
  <c r="BL68" i="4"/>
  <c r="X69" i="4"/>
  <c r="AZ69" i="4"/>
  <c r="CR69" i="4"/>
  <c r="T74" i="4"/>
  <c r="AV74" i="4"/>
  <c r="BL74" i="4"/>
  <c r="CN74" i="4"/>
  <c r="X75" i="4"/>
  <c r="AZ75" i="4"/>
  <c r="CR75" i="4"/>
  <c r="AJ74" i="4"/>
  <c r="AZ74" i="4"/>
  <c r="CB74" i="4"/>
  <c r="AN74" i="4"/>
  <c r="DH74" i="4"/>
  <c r="X66" i="4"/>
  <c r="CR66" i="4"/>
  <c r="AB68" i="4"/>
  <c r="CV68" i="4"/>
  <c r="BH69" i="4"/>
  <c r="X72" i="4"/>
  <c r="CR72" i="4"/>
  <c r="AB74" i="4"/>
  <c r="CV74" i="4"/>
  <c r="BH75" i="4"/>
  <c r="CJ62" i="4"/>
  <c r="AV63" i="4"/>
  <c r="AZ65" i="4"/>
  <c r="L66" i="4"/>
  <c r="CF66" i="4"/>
  <c r="P68" i="4"/>
  <c r="CJ68" i="4"/>
  <c r="AV69" i="4"/>
  <c r="AZ71" i="4"/>
  <c r="L72" i="4"/>
  <c r="CF72" i="4"/>
  <c r="P74" i="4"/>
  <c r="CJ74" i="4"/>
  <c r="AV75" i="4"/>
  <c r="BX62" i="4"/>
  <c r="AJ63" i="4"/>
  <c r="DD63" i="4"/>
  <c r="AN65" i="4"/>
  <c r="DH65" i="4"/>
  <c r="BT66" i="4"/>
  <c r="BX68" i="4"/>
  <c r="AJ69" i="4"/>
  <c r="DD69" i="4"/>
  <c r="AN71" i="4"/>
  <c r="DH71" i="4"/>
  <c r="BT72" i="4"/>
  <c r="BX74" i="4"/>
  <c r="AJ75" i="4"/>
  <c r="DD75" i="4"/>
  <c r="AI7" i="7"/>
  <c r="AJ7" i="7" s="1"/>
  <c r="E8" i="7"/>
  <c r="S11" i="7"/>
  <c r="T11" i="7" s="1"/>
  <c r="BC11" i="7"/>
  <c r="BD11" i="7" s="1"/>
  <c r="CM11" i="7"/>
  <c r="CN11" i="7" s="1"/>
  <c r="CU23" i="7"/>
  <c r="CV23" i="7" s="1"/>
  <c r="AB7" i="7"/>
  <c r="AE19" i="7"/>
  <c r="AF19" i="7" s="1"/>
  <c r="BO19" i="7"/>
  <c r="BP19" i="7" s="1"/>
  <c r="CY19" i="7"/>
  <c r="CZ19" i="7" s="1"/>
  <c r="BL23" i="7"/>
  <c r="BH23" i="7"/>
  <c r="DL23" i="7"/>
  <c r="P7" i="7"/>
  <c r="BP7" i="7"/>
  <c r="AR23" i="7"/>
  <c r="AU7" i="7"/>
  <c r="AV7" i="7" s="1"/>
  <c r="E14" i="7"/>
  <c r="DH15" i="7"/>
  <c r="P15" i="7"/>
  <c r="AQ19" i="7"/>
  <c r="AR19" i="7" s="1"/>
  <c r="CA19" i="7"/>
  <c r="CB19" i="7" s="1"/>
  <c r="DK19" i="7"/>
  <c r="DL19" i="7" s="1"/>
  <c r="E25" i="7"/>
  <c r="X31" i="7"/>
  <c r="AE43" i="7"/>
  <c r="AF43" i="7" s="1"/>
  <c r="BO43" i="7"/>
  <c r="BP43" i="7" s="1"/>
  <c r="CY43" i="7"/>
  <c r="CZ43" i="7" s="1"/>
  <c r="CB47" i="7"/>
  <c r="E44" i="7"/>
  <c r="AF31" i="7"/>
  <c r="BD31" i="7"/>
  <c r="DL31" i="7"/>
  <c r="AN31" i="7"/>
  <c r="BX31" i="7"/>
  <c r="E38" i="7"/>
  <c r="BL39" i="7"/>
  <c r="CZ47" i="7"/>
  <c r="AF11" i="7"/>
  <c r="BP27" i="7"/>
  <c r="CZ35" i="7"/>
  <c r="BD35" i="7"/>
  <c r="CF63" i="7"/>
  <c r="DD63" i="7"/>
  <c r="AF63" i="7"/>
  <c r="CZ63" i="7"/>
  <c r="AZ55" i="7"/>
  <c r="CV55" i="7"/>
  <c r="AR51" i="7"/>
  <c r="BP51" i="7"/>
  <c r="CB67" i="7"/>
  <c r="F28" i="1" l="1"/>
  <c r="E28" i="1"/>
  <c r="DM3" i="7"/>
  <c r="G29" i="1" s="1"/>
  <c r="DM3" i="4"/>
  <c r="D29" i="1" s="1"/>
  <c r="E10" i="4"/>
  <c r="E7" i="4"/>
  <c r="E31" i="4"/>
  <c r="E37" i="4"/>
  <c r="E40" i="4"/>
  <c r="E25" i="4"/>
  <c r="E19" i="4"/>
  <c r="E22" i="4"/>
  <c r="E16" i="4"/>
  <c r="E4" i="4"/>
  <c r="E38" i="4"/>
  <c r="E32" i="4"/>
  <c r="E26" i="4"/>
  <c r="E20" i="4"/>
  <c r="E13" i="4"/>
  <c r="E56" i="4"/>
  <c r="E52" i="4"/>
  <c r="E47" i="4"/>
  <c r="E43" i="4"/>
  <c r="E39" i="4"/>
  <c r="E58" i="4"/>
  <c r="E57" i="4"/>
  <c r="BA3" i="4"/>
  <c r="D13" i="1" s="1"/>
  <c r="E70" i="4"/>
  <c r="E64" i="4"/>
  <c r="E61" i="4"/>
  <c r="E59" i="7"/>
  <c r="E71" i="4"/>
  <c r="E65" i="4"/>
  <c r="E74" i="4"/>
  <c r="E68" i="4"/>
  <c r="E75" i="4"/>
  <c r="AS3" i="4"/>
  <c r="D11" i="1" s="1"/>
  <c r="E14" i="4"/>
  <c r="AW3" i="4"/>
  <c r="D12" i="1" s="1"/>
  <c r="E67" i="4"/>
  <c r="E50" i="4"/>
  <c r="E24" i="4"/>
  <c r="E12" i="4"/>
  <c r="E69" i="4"/>
  <c r="BI3" i="4"/>
  <c r="D15" i="1" s="1"/>
  <c r="E72" i="4"/>
  <c r="E66" i="4"/>
  <c r="E41" i="4"/>
  <c r="E17" i="4"/>
  <c r="CC3" i="4"/>
  <c r="D20" i="1" s="1"/>
  <c r="E8" i="4"/>
  <c r="BU3" i="4"/>
  <c r="D18" i="1" s="1"/>
  <c r="DI3" i="4"/>
  <c r="E67" i="7"/>
  <c r="E43" i="7"/>
  <c r="CO3" i="7"/>
  <c r="G23" i="1" s="1"/>
  <c r="AG3" i="7"/>
  <c r="G8" i="1" s="1"/>
  <c r="E30" i="4"/>
  <c r="U3" i="4"/>
  <c r="D5" i="1" s="1"/>
  <c r="E11" i="4"/>
  <c r="CW3" i="4"/>
  <c r="D25" i="1" s="1"/>
  <c r="AC3" i="4"/>
  <c r="D7" i="1" s="1"/>
  <c r="CG3" i="4"/>
  <c r="D21" i="1" s="1"/>
  <c r="E34" i="4"/>
  <c r="E28" i="4"/>
  <c r="E63" i="7"/>
  <c r="E60" i="4"/>
  <c r="E33" i="4"/>
  <c r="E27" i="4"/>
  <c r="E44" i="4"/>
  <c r="E48" i="4"/>
  <c r="E15" i="4"/>
  <c r="CO3" i="4"/>
  <c r="D23" i="1" s="1"/>
  <c r="E5" i="4"/>
  <c r="BE3" i="4"/>
  <c r="D14" i="1" s="1"/>
  <c r="Y3" i="4"/>
  <c r="D6" i="1" s="1"/>
  <c r="E27" i="7"/>
  <c r="E15" i="7"/>
  <c r="E55" i="7"/>
  <c r="E62" i="4"/>
  <c r="E21" i="4"/>
  <c r="E51" i="7"/>
  <c r="E35" i="7"/>
  <c r="E45" i="4"/>
  <c r="DA3" i="4"/>
  <c r="D26" i="1" s="1"/>
  <c r="BQ3" i="4"/>
  <c r="D17" i="1" s="1"/>
  <c r="CS3" i="4"/>
  <c r="D24" i="1" s="1"/>
  <c r="E9" i="4"/>
  <c r="BY3" i="4"/>
  <c r="D19" i="1" s="1"/>
  <c r="AG3" i="4"/>
  <c r="D8" i="1" s="1"/>
  <c r="AK3" i="4"/>
  <c r="D9" i="1" s="1"/>
  <c r="DE3" i="4"/>
  <c r="D27" i="1" s="1"/>
  <c r="E73" i="4"/>
  <c r="E55" i="4"/>
  <c r="E19" i="7"/>
  <c r="CG3" i="7"/>
  <c r="G21" i="1" s="1"/>
  <c r="E11" i="7"/>
  <c r="DE3" i="7"/>
  <c r="G27" i="1" s="1"/>
  <c r="Q3" i="7"/>
  <c r="G4" i="1" s="1"/>
  <c r="E42" i="4"/>
  <c r="E29" i="4"/>
  <c r="M3" i="4"/>
  <c r="D3" i="1" s="1"/>
  <c r="E47" i="7"/>
  <c r="CC3" i="7"/>
  <c r="G20" i="1" s="1"/>
  <c r="BU3" i="7"/>
  <c r="G18" i="1" s="1"/>
  <c r="BM3" i="7"/>
  <c r="G16" i="1" s="1"/>
  <c r="DA3" i="7"/>
  <c r="G26" i="1" s="1"/>
  <c r="E23" i="4"/>
  <c r="AO3" i="4"/>
  <c r="D10" i="1" s="1"/>
  <c r="BY3" i="7"/>
  <c r="G19" i="1" s="1"/>
  <c r="E6" i="4"/>
  <c r="I3" i="4"/>
  <c r="D2" i="1" s="1"/>
  <c r="AC3" i="7"/>
  <c r="G7" i="1" s="1"/>
  <c r="BI3" i="7"/>
  <c r="G15" i="1" s="1"/>
  <c r="AO3" i="7"/>
  <c r="G10" i="1" s="1"/>
  <c r="AS3" i="7"/>
  <c r="G11" i="1" s="1"/>
  <c r="C11" i="1" s="1"/>
  <c r="BE3" i="7"/>
  <c r="G14" i="1" s="1"/>
  <c r="E63" i="4"/>
  <c r="E51" i="4"/>
  <c r="E35" i="4"/>
  <c r="CK3" i="4"/>
  <c r="D22" i="1" s="1"/>
  <c r="Q3" i="4"/>
  <c r="D4" i="1" s="1"/>
  <c r="CW3" i="7"/>
  <c r="G25" i="1" s="1"/>
  <c r="C25" i="1" s="1"/>
  <c r="BQ3" i="7"/>
  <c r="G17" i="1" s="1"/>
  <c r="M3" i="7"/>
  <c r="G3" i="1" s="1"/>
  <c r="Y3" i="7"/>
  <c r="G6" i="1" s="1"/>
  <c r="E53" i="4"/>
  <c r="E36" i="4"/>
  <c r="E31" i="7"/>
  <c r="BA3" i="7"/>
  <c r="G13" i="1" s="1"/>
  <c r="U3" i="7"/>
  <c r="G5" i="1" s="1"/>
  <c r="C5" i="1" s="1"/>
  <c r="E23" i="7"/>
  <c r="AW3" i="7"/>
  <c r="G12" i="1" s="1"/>
  <c r="I3" i="7"/>
  <c r="G2" i="1" s="1"/>
  <c r="E7" i="7"/>
  <c r="AK3" i="7"/>
  <c r="G9" i="1" s="1"/>
  <c r="E54" i="4"/>
  <c r="E39" i="7"/>
  <c r="DI3" i="7"/>
  <c r="CS3" i="7"/>
  <c r="G24" i="1" s="1"/>
  <c r="CK3" i="7"/>
  <c r="G22" i="1" s="1"/>
  <c r="E46" i="4"/>
  <c r="E59" i="4"/>
  <c r="E49" i="4"/>
  <c r="E18" i="4"/>
  <c r="BM3" i="4"/>
  <c r="D16" i="1" s="1"/>
  <c r="C20" i="1" l="1"/>
  <c r="H20" i="1" s="1"/>
  <c r="D28" i="1"/>
  <c r="C29" i="1"/>
  <c r="G28" i="1"/>
  <c r="C13" i="1"/>
  <c r="H13" i="1" s="1"/>
  <c r="C14" i="1"/>
  <c r="H14" i="1" s="1"/>
  <c r="C18" i="1"/>
  <c r="H18" i="1" s="1"/>
  <c r="C15" i="1"/>
  <c r="H15" i="1" s="1"/>
  <c r="C21" i="1"/>
  <c r="C12" i="1"/>
  <c r="H12" i="1" s="1"/>
  <c r="C9" i="1"/>
  <c r="H9" i="1" s="1"/>
  <c r="C17" i="1"/>
  <c r="H17" i="1" s="1"/>
  <c r="C6" i="1"/>
  <c r="H6" i="1" s="1"/>
  <c r="C7" i="1"/>
  <c r="H7" i="1" s="1"/>
  <c r="C26" i="1"/>
  <c r="H26" i="1" s="1"/>
  <c r="C8" i="1"/>
  <c r="H8" i="1" s="1"/>
  <c r="C16" i="1"/>
  <c r="H16" i="1" s="1"/>
  <c r="C24" i="1"/>
  <c r="H24" i="1" s="1"/>
  <c r="C4" i="1"/>
  <c r="H4" i="1" s="1"/>
  <c r="C19" i="1"/>
  <c r="H19" i="1" s="1"/>
  <c r="C27" i="1"/>
  <c r="H27" i="1" s="1"/>
  <c r="C23" i="1"/>
  <c r="H23" i="1" s="1"/>
  <c r="H5" i="1"/>
  <c r="H25" i="1"/>
  <c r="H11" i="1"/>
  <c r="C2" i="1"/>
  <c r="H21" i="1"/>
  <c r="C10" i="1"/>
  <c r="C22" i="1"/>
  <c r="C3" i="1"/>
  <c r="C28" i="1" l="1"/>
  <c r="H28" i="1" s="1"/>
  <c r="H3" i="1"/>
  <c r="H10" i="1"/>
  <c r="A19" i="1"/>
  <c r="A26" i="1"/>
  <c r="A6" i="1"/>
  <c r="H22" i="1"/>
  <c r="A22" i="1"/>
  <c r="H2" i="1"/>
  <c r="A23" i="1"/>
  <c r="A8" i="1"/>
  <c r="A7" i="1"/>
  <c r="A11" i="1"/>
  <c r="A14" i="1"/>
  <c r="A13" i="1"/>
  <c r="A16" i="1"/>
  <c r="A27" i="1"/>
  <c r="A4" i="1"/>
  <c r="A12" i="1"/>
  <c r="A20" i="1"/>
  <c r="A25" i="1"/>
  <c r="A24" i="1"/>
  <c r="A9" i="1"/>
  <c r="A5" i="1"/>
  <c r="A17" i="1" l="1"/>
  <c r="A21" i="1"/>
  <c r="A28" i="1"/>
  <c r="A29" i="1"/>
  <c r="A18" i="1"/>
  <c r="A10" i="1"/>
  <c r="A2" i="1"/>
  <c r="A3" i="1"/>
  <c r="A15" i="1"/>
  <c r="H29" i="1"/>
</calcChain>
</file>

<file path=xl/sharedStrings.xml><?xml version="1.0" encoding="utf-8"?>
<sst xmlns="http://schemas.openxmlformats.org/spreadsheetml/2006/main" count="997" uniqueCount="166">
  <si>
    <t>Rank</t>
  </si>
  <si>
    <t>Name</t>
  </si>
  <si>
    <t>Total</t>
  </si>
  <si>
    <t>Group Stage</t>
  </si>
  <si>
    <t>Play-off teams</t>
  </si>
  <si>
    <t>Winner</t>
  </si>
  <si>
    <t>Play-off Stage</t>
  </si>
  <si>
    <t>SortKey</t>
  </si>
  <si>
    <t>%</t>
  </si>
  <si>
    <t>Total prize money</t>
  </si>
  <si>
    <t>Abel</t>
  </si>
  <si>
    <t>1st place</t>
  </si>
  <si>
    <t>Aleksandr</t>
  </si>
  <si>
    <t>2nd place</t>
  </si>
  <si>
    <t>Ara</t>
  </si>
  <si>
    <t>3rd place</t>
  </si>
  <si>
    <t>Aram GM</t>
  </si>
  <si>
    <t>4th place</t>
  </si>
  <si>
    <t>Aram Tsh.</t>
  </si>
  <si>
    <t>5th place</t>
  </si>
  <si>
    <t>Arsen</t>
  </si>
  <si>
    <t>6th place</t>
  </si>
  <si>
    <t>Art Cap</t>
  </si>
  <si>
    <t>7th place</t>
  </si>
  <si>
    <t>Art Doc</t>
  </si>
  <si>
    <t>Davit</t>
  </si>
  <si>
    <t>Edgar H.</t>
  </si>
  <si>
    <t>Edgar M.</t>
  </si>
  <si>
    <t>Gagik St.</t>
  </si>
  <si>
    <t>Hayk St.</t>
  </si>
  <si>
    <t>Henrik</t>
  </si>
  <si>
    <t>Hovo St.</t>
  </si>
  <si>
    <t>Konstantin</t>
  </si>
  <si>
    <t>Levon M.</t>
  </si>
  <si>
    <t>Levon T.</t>
  </si>
  <si>
    <t>Mark</t>
  </si>
  <si>
    <t>Rench</t>
  </si>
  <si>
    <t>Ruben</t>
  </si>
  <si>
    <t>Sipan</t>
  </si>
  <si>
    <t>Tigran Gr.</t>
  </si>
  <si>
    <t>Tigran H.</t>
  </si>
  <si>
    <t>Tigran Tsh.</t>
  </si>
  <si>
    <t>Vigen</t>
  </si>
  <si>
    <t>Edmon</t>
  </si>
  <si>
    <t>Total Award</t>
  </si>
  <si>
    <t xml:space="preserve"> % </t>
  </si>
  <si>
    <t>Names</t>
  </si>
  <si>
    <t>Mexico</t>
  </si>
  <si>
    <t>South Africa</t>
  </si>
  <si>
    <t>South Korea</t>
  </si>
  <si>
    <t>Czech Republic</t>
  </si>
  <si>
    <t>Canada</t>
  </si>
  <si>
    <t>Bosnia and Herzegovina</t>
  </si>
  <si>
    <t>Qatar</t>
  </si>
  <si>
    <t>Switzerland</t>
  </si>
  <si>
    <t>Brazil</t>
  </si>
  <si>
    <t>Morocco</t>
  </si>
  <si>
    <t>Haiti</t>
  </si>
  <si>
    <t>Scotland</t>
  </si>
  <si>
    <t>United States</t>
  </si>
  <si>
    <t>Paraguay</t>
  </si>
  <si>
    <t>Australia</t>
  </si>
  <si>
    <t>Turkey</t>
  </si>
  <si>
    <t>Germany</t>
  </si>
  <si>
    <t>Curaçao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</si>
  <si>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</si>
  <si>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</si>
  <si>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</si>
  <si>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</si>
  <si>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</si>
  <si>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</si>
  <si>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</si>
  <si>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</si>
  <si>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</si>
  <si>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</si>
  <si>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</si>
  <si>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</si>
  <si>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</si>
  <si>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</si>
  <si>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</si>
  <si>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</si>
  <si>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</si>
  <si>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</si>
  <si>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</si>
  <si>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</si>
  <si>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</si>
  <si>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</si>
  <si>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</si>
  <si>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</si>
  <si>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</si>
  <si>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</si>
  <si>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</si>
  <si>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</si>
  <si>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</si>
  <si>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</si>
  <si>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Date&amp;Time</t>
  </si>
  <si>
    <t>Matches</t>
  </si>
  <si>
    <t>TOTAL</t>
  </si>
  <si>
    <t>Actual
scores</t>
  </si>
  <si>
    <t>outcome</t>
  </si>
  <si>
    <t>score</t>
  </si>
  <si>
    <t>pts</t>
  </si>
  <si>
    <t>Total points</t>
  </si>
  <si>
    <t>23:00</t>
  </si>
  <si>
    <t>06:00</t>
  </si>
  <si>
    <t>20:00</t>
  </si>
  <si>
    <t>05:00</t>
  </si>
  <si>
    <t>02:00</t>
  </si>
  <si>
    <t>04:30</t>
  </si>
  <si>
    <t>08:00</t>
  </si>
  <si>
    <t>07:00</t>
  </si>
  <si>
    <t>21:00</t>
  </si>
  <si>
    <t>03:00</t>
  </si>
  <si>
    <t>00:00</t>
  </si>
  <si>
    <t>04:00</t>
  </si>
  <si>
    <t>01:00</t>
  </si>
  <si>
    <t>03:30</t>
  </si>
  <si>
    <t>Aram</t>
  </si>
  <si>
    <t>Ari</t>
  </si>
  <si>
    <t>Arman</t>
  </si>
  <si>
    <t>Art Cap.</t>
  </si>
  <si>
    <t>Arthur K.</t>
  </si>
  <si>
    <t>Edgar</t>
  </si>
  <si>
    <t>Gevorg</t>
  </si>
  <si>
    <t>Gohar</t>
  </si>
  <si>
    <t>Hayk</t>
  </si>
  <si>
    <t>Hov. St.</t>
  </si>
  <si>
    <t>Levon</t>
  </si>
  <si>
    <t>Manuk</t>
  </si>
  <si>
    <t>Minas</t>
  </si>
  <si>
    <t>Sargis</t>
  </si>
  <si>
    <t>Vardan</t>
  </si>
  <si>
    <t>Teams</t>
  </si>
  <si>
    <t>Play-off</t>
  </si>
  <si>
    <t>v</t>
  </si>
  <si>
    <t>x</t>
  </si>
  <si>
    <t>Pts</t>
  </si>
  <si>
    <t>-</t>
  </si>
  <si>
    <t>Points</t>
  </si>
  <si>
    <t>Date</t>
  </si>
  <si>
    <t>1/8 Final</t>
  </si>
  <si>
    <t>Normal time</t>
  </si>
  <si>
    <t>Extra time</t>
  </si>
  <si>
    <t>Penalties</t>
  </si>
  <si>
    <t>AGGREGATE</t>
  </si>
  <si>
    <t>1/4 Final</t>
  </si>
  <si>
    <t>1/2 Final</t>
  </si>
  <si>
    <t>3/4 place</t>
  </si>
  <si>
    <t>Final</t>
  </si>
  <si>
    <t>World Cup 2014 - Brazil</t>
  </si>
  <si>
    <t>N</t>
  </si>
  <si>
    <t>Reference</t>
  </si>
  <si>
    <t>Terms</t>
  </si>
  <si>
    <t>Comments</t>
  </si>
  <si>
    <t>Participation fee</t>
  </si>
  <si>
    <t>10000 AMD</t>
  </si>
  <si>
    <t>156 AMD per match. The fee should be paid before the competition starts.</t>
  </si>
  <si>
    <t>Prizes</t>
  </si>
  <si>
    <t>Depend on the number (n) of participants
1-st place - 40%
2-nd place - 20%
3-rd place - 15%
4-th place - 10%
5-th place - 7%
6-th place - 5%
7-th place - 3%</t>
  </si>
  <si>
    <t>In case of equal number of points prioirty will be given to the participants with more scores predicted, and more complicated scores (with 4 or more goals and 3-0) predicted.</t>
  </si>
  <si>
    <t>Deadlines</t>
  </si>
  <si>
    <t>&gt; fee payment - 09.06.2026, 20:00
&gt; Sending the scores of the 1-st and 2nd phases of group stage and the prediction of the champion - 09.06.2026, 24:00
&gt; Sending the scores of the 3-rd phase of group stage - 23.06.2026, 00:00
&gt; Sending the scores of 1/16 finals - 28.06.2026, 24:00  
&gt; Sending the scores of 1/8 finals - 04.06.2026, 24:00  
&gt; Sending the scores of 1/4 finals - 09.06.2026, 24:00
&gt; Sending the scores of 1/2 finals -  13.06.2026, 24:00
&gt; Sending the scorse of thematch for the 3rd place and the final - 18.06.2026, 18:00</t>
  </si>
  <si>
    <t>The fee should be paid to Tigran before the deadline (077-45-40-75):
You can send the score predictions via posting in the facebook group</t>
  </si>
  <si>
    <t>Rules</t>
  </si>
  <si>
    <t>&gt; 3 points for prediction of the result (win/lose/draw)
&gt; 5 points for prediction of the score
&gt; 6 points for prediction of complicated scores with 4 and more goals as well as 3-0.
&gt; 2 points for each predicted participant of 1/8 finals
&gt; starting from 1/8 finals, 1 point will be granted for prediction of each team qualifying for the next round
&gt; starting from 1/8 finals, 1 point will be granted for prediction of the results of extra time and penalty shoot-out, and 2 points for prediction of exact scores of extra time and penalty shoot-out
&gt; 8 points for prediction of the champion in advance</t>
  </si>
  <si>
    <t>You will receive the standings each day in the fb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</si>
</sst>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.00000000_);_(* \(#,##0.00000000\);_(* &quot;-&quot;??_);_(@_)"/>
    <numFmt numFmtId="165" formatCode="_(* #,##0_);_(* \(#,##0\);_(* &quot;-&quot;??_);_(@_)"/>
    <numFmt numFmtId="166" formatCode="yyyy\-mm\-dd"/>
    <numFmt numFmtId="167" formatCode="[$-419]General"/>
  </numFmts>
  <fonts count="38">
    <font>
      <sz val="10"/>
      <name val="Verdana"/>
    </font>
    <font>
      <sz val="10"/>
      <name val="Verdana"/>
      <family val="2"/>
    </font>
    <font>
      <b/>
      <sz val="8"/>
      <color indexed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0"/>
      <color indexed="10"/>
      <name val="Trebuchet MS"/>
      <family val="2"/>
    </font>
    <font>
      <sz val="10"/>
      <color indexed="10"/>
      <name val="Trebuchet MS"/>
      <family val="2"/>
    </font>
    <font>
      <b/>
      <sz val="12"/>
      <name val="Trebuchet MS"/>
      <family val="2"/>
    </font>
    <font>
      <b/>
      <sz val="10"/>
      <color indexed="62"/>
      <name val="Trebuchet MS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color indexed="9"/>
      <name val="Trebuchet MS"/>
      <family val="2"/>
    </font>
    <font>
      <b/>
      <sz val="10"/>
      <color indexed="9"/>
      <name val="Trebuchet MS"/>
      <family val="2"/>
    </font>
    <font>
      <b/>
      <sz val="8"/>
      <color indexed="62"/>
      <name val="Trebuchet MS"/>
      <family val="2"/>
    </font>
    <font>
      <sz val="8"/>
      <name val="Trebuchet MS"/>
      <family val="2"/>
    </font>
    <font>
      <b/>
      <sz val="9"/>
      <name val="Trebuchet MS"/>
      <family val="2"/>
    </font>
    <font>
      <b/>
      <sz val="9"/>
      <color indexed="9"/>
      <name val="Trebuchet MS"/>
      <family val="2"/>
    </font>
    <font>
      <b/>
      <sz val="9"/>
      <color indexed="10"/>
      <name val="Trebuchet MS"/>
      <family val="2"/>
    </font>
    <font>
      <sz val="9"/>
      <name val="Trebuchet MS"/>
      <family val="2"/>
    </font>
    <font>
      <sz val="9"/>
      <color indexed="10"/>
      <name val="Trebuchet MS"/>
      <family val="2"/>
    </font>
    <font>
      <sz val="10"/>
      <name val="Arial"/>
      <family val="2"/>
    </font>
    <font>
      <sz val="9"/>
      <color indexed="10"/>
      <name val="Times Unicode"/>
      <family val="2"/>
    </font>
    <font>
      <sz val="10"/>
      <name val="Calibri"/>
      <family val="2"/>
    </font>
    <font>
      <u/>
      <sz val="10"/>
      <color indexed="12"/>
      <name val="Calibri"/>
      <family val="2"/>
    </font>
    <font>
      <b/>
      <sz val="11"/>
      <color indexed="53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0"/>
      <name val="Trebuchet MS"/>
      <family val="2"/>
    </font>
    <font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rgb="FFDD0806"/>
      <name val="Trebuchet MS"/>
      <family val="2"/>
    </font>
    <font>
      <b/>
      <sz val="10"/>
      <color theme="0"/>
      <name val="Trebuchet MS"/>
      <family val="2"/>
    </font>
    <font>
      <b/>
      <sz val="12"/>
      <color theme="0"/>
      <name val="Trebuchet MS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5">
    <xf numFmtId="0" fontId="0" fillId="0" borderId="0"/>
    <xf numFmtId="43" fontId="37" fillId="0" borderId="0"/>
    <xf numFmtId="167" fontId="27" fillId="0" borderId="0"/>
    <xf numFmtId="0" fontId="24" fillId="0" borderId="0">
      <alignment vertical="top"/>
      <protection locked="0"/>
    </xf>
    <xf numFmtId="0" fontId="28" fillId="0" borderId="0"/>
    <xf numFmtId="0" fontId="23" fillId="0" borderId="0"/>
    <xf numFmtId="0" fontId="26" fillId="0" borderId="0"/>
    <xf numFmtId="9" fontId="37" fillId="0" borderId="0"/>
    <xf numFmtId="0" fontId="35" fillId="0" borderId="0"/>
    <xf numFmtId="0" fontId="36" fillId="0" borderId="0"/>
    <xf numFmtId="0" fontId="26" fillId="0" borderId="0"/>
    <xf numFmtId="43" fontId="37" fillId="0" borderId="0"/>
    <xf numFmtId="0" fontId="26" fillId="0" borderId="0"/>
    <xf numFmtId="9" fontId="37" fillId="0" borderId="0"/>
    <xf numFmtId="0" fontId="26" fillId="0" borderId="0"/>
  </cellStyleXfs>
  <cellXfs count="172">
    <xf numFmtId="0" fontId="0" fillId="0" borderId="0" xfId="0"/>
    <xf numFmtId="0" fontId="3" fillId="0" borderId="0" xfId="0" applyFont="1"/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10" fillId="3" borderId="3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3" xfId="0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164" fontId="3" fillId="0" borderId="0" xfId="0" applyNumberFormat="1" applyFont="1" applyAlignment="1">
      <alignment horizontal="center"/>
    </xf>
    <xf numFmtId="0" fontId="16" fillId="0" borderId="0" xfId="0" applyFont="1"/>
    <xf numFmtId="0" fontId="19" fillId="4" borderId="17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9" fillId="0" borderId="11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41" fontId="17" fillId="6" borderId="18" xfId="0" applyNumberFormat="1" applyFont="1" applyFill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 vertical="center"/>
      <protection hidden="1"/>
    </xf>
    <xf numFmtId="0" fontId="20" fillId="0" borderId="11" xfId="0" applyFont="1" applyBorder="1" applyAlignment="1" applyProtection="1">
      <alignment horizontal="center" vertical="center"/>
      <protection hidden="1"/>
    </xf>
    <xf numFmtId="0" fontId="19" fillId="4" borderId="12" xfId="0" applyFont="1" applyFill="1" applyBorder="1" applyAlignment="1">
      <alignment horizontal="center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locked="0"/>
    </xf>
    <xf numFmtId="0" fontId="20" fillId="5" borderId="12" xfId="0" applyFont="1" applyFill="1" applyBorder="1" applyAlignment="1">
      <alignment horizontal="center"/>
    </xf>
    <xf numFmtId="16" fontId="19" fillId="0" borderId="5" xfId="0" applyNumberFormat="1" applyFont="1" applyBorder="1" applyAlignment="1" applyProtection="1">
      <alignment horizontal="right" vertical="center" indent="1" shrinkToFi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0" fontId="19" fillId="4" borderId="6" xfId="0" applyFont="1" applyFill="1" applyBorder="1" applyAlignment="1">
      <alignment horizontal="center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4" borderId="3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>
      <alignment horizontal="center"/>
    </xf>
    <xf numFmtId="16" fontId="16" fillId="7" borderId="19" xfId="0" applyNumberFormat="1" applyFont="1" applyFill="1" applyBorder="1" applyAlignment="1" applyProtection="1">
      <alignment horizontal="right" vertical="center" indent="1" shrinkToFit="1"/>
      <protection hidden="1"/>
    </xf>
    <xf numFmtId="0" fontId="16" fillId="7" borderId="4" xfId="0" applyFont="1" applyFill="1" applyBorder="1" applyAlignment="1" applyProtection="1">
      <alignment horizontal="center" vertical="center"/>
      <protection hidden="1"/>
    </xf>
    <xf numFmtId="0" fontId="16" fillId="7" borderId="20" xfId="0" applyFont="1" applyFill="1" applyBorder="1" applyAlignment="1" applyProtection="1">
      <alignment horizontal="center" vertical="center"/>
      <protection hidden="1"/>
    </xf>
    <xf numFmtId="0" fontId="16" fillId="7" borderId="21" xfId="0" applyFont="1" applyFill="1" applyBorder="1" applyAlignment="1" applyProtection="1">
      <alignment horizontal="center" vertical="center"/>
      <protection hidden="1"/>
    </xf>
    <xf numFmtId="0" fontId="18" fillId="8" borderId="15" xfId="0" applyFont="1" applyFill="1" applyBorder="1" applyAlignment="1" applyProtection="1">
      <alignment horizontal="center" vertical="center"/>
      <protection hidden="1"/>
    </xf>
    <xf numFmtId="0" fontId="16" fillId="8" borderId="21" xfId="0" applyFont="1" applyFill="1" applyBorder="1" applyAlignment="1">
      <alignment horizontal="center"/>
    </xf>
    <xf numFmtId="0" fontId="16" fillId="8" borderId="19" xfId="0" applyFont="1" applyFill="1" applyBorder="1" applyAlignment="1" applyProtection="1">
      <alignment horizontal="center" vertical="center"/>
      <protection locked="0"/>
    </xf>
    <xf numFmtId="0" fontId="16" fillId="8" borderId="4" xfId="0" applyFont="1" applyFill="1" applyBorder="1" applyAlignment="1" applyProtection="1">
      <alignment horizontal="center" vertical="center"/>
      <protection locked="0"/>
    </xf>
    <xf numFmtId="0" fontId="18" fillId="9" borderId="21" xfId="0" applyFont="1" applyFill="1" applyBorder="1" applyAlignment="1">
      <alignment horizontal="center"/>
    </xf>
    <xf numFmtId="165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left" indent="1"/>
    </xf>
    <xf numFmtId="165" fontId="3" fillId="0" borderId="3" xfId="1" applyNumberFormat="1" applyFont="1" applyBorder="1"/>
    <xf numFmtId="9" fontId="3" fillId="0" borderId="3" xfId="7" applyFont="1" applyBorder="1" applyAlignment="1">
      <alignment horizontal="center"/>
    </xf>
    <xf numFmtId="0" fontId="3" fillId="0" borderId="3" xfId="0" applyFont="1" applyBorder="1" applyAlignment="1">
      <alignment horizontal="left" indent="3"/>
    </xf>
    <xf numFmtId="0" fontId="3" fillId="11" borderId="17" xfId="0" applyFont="1" applyFill="1" applyBorder="1" applyAlignment="1">
      <alignment horizontal="center" vertical="center"/>
    </xf>
    <xf numFmtId="0" fontId="3" fillId="11" borderId="11" xfId="0" applyFont="1" applyFill="1" applyBorder="1" applyAlignment="1" applyProtection="1">
      <alignment horizontal="center" vertical="center"/>
      <protection locked="0"/>
    </xf>
    <xf numFmtId="0" fontId="3" fillId="11" borderId="3" xfId="0" applyFont="1" applyFill="1" applyBorder="1" applyAlignment="1" applyProtection="1">
      <alignment horizontal="center" vertical="center"/>
      <protection locked="0"/>
    </xf>
    <xf numFmtId="0" fontId="3" fillId="11" borderId="4" xfId="0" applyFont="1" applyFill="1" applyBorder="1" applyAlignment="1" applyProtection="1">
      <alignment horizontal="center" vertical="center"/>
      <protection locked="0"/>
    </xf>
    <xf numFmtId="0" fontId="5" fillId="10" borderId="1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21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29" fillId="12" borderId="0" xfId="0" applyFont="1" applyFill="1"/>
    <xf numFmtId="0" fontId="21" fillId="0" borderId="0" xfId="0" applyFont="1"/>
    <xf numFmtId="0" fontId="22" fillId="0" borderId="14" xfId="0" applyFont="1" applyBorder="1" applyAlignment="1" applyProtection="1">
      <alignment horizontal="center"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left" vertical="center"/>
    </xf>
    <xf numFmtId="41" fontId="13" fillId="12" borderId="23" xfId="0" applyNumberFormat="1" applyFont="1" applyFill="1" applyBorder="1" applyAlignment="1" applyProtection="1">
      <alignment horizontal="center" vertical="center"/>
      <protection hidden="1"/>
    </xf>
    <xf numFmtId="0" fontId="30" fillId="0" borderId="3" xfId="0" applyFont="1" applyBorder="1" applyAlignment="1" applyProtection="1">
      <alignment horizontal="center"/>
      <protection hidden="1"/>
    </xf>
    <xf numFmtId="0" fontId="31" fillId="0" borderId="24" xfId="0" applyFont="1" applyBorder="1" applyAlignment="1" applyProtection="1">
      <alignment horizontal="center"/>
      <protection locked="0" hidden="1"/>
    </xf>
    <xf numFmtId="0" fontId="31" fillId="0" borderId="3" xfId="0" applyFont="1" applyBorder="1" applyAlignment="1" applyProtection="1">
      <alignment horizontal="center"/>
      <protection locked="0" hidden="1"/>
    </xf>
    <xf numFmtId="0" fontId="31" fillId="0" borderId="3" xfId="6" applyFont="1" applyBorder="1" applyAlignment="1" applyProtection="1">
      <alignment horizontal="center"/>
      <protection locked="0" hidden="1"/>
    </xf>
    <xf numFmtId="0" fontId="31" fillId="0" borderId="24" xfId="6" applyFont="1" applyBorder="1" applyAlignment="1" applyProtection="1">
      <alignment horizontal="center"/>
      <protection locked="0" hidden="1"/>
    </xf>
    <xf numFmtId="0" fontId="25" fillId="0" borderId="24" xfId="0" applyFont="1" applyBorder="1" applyAlignment="1" applyProtection="1">
      <alignment horizontal="center"/>
      <protection locked="0" hidden="1"/>
    </xf>
    <xf numFmtId="0" fontId="25" fillId="0" borderId="3" xfId="0" applyFont="1" applyBorder="1" applyAlignment="1" applyProtection="1">
      <alignment horizontal="center"/>
      <protection locked="0" hidden="1"/>
    </xf>
    <xf numFmtId="0" fontId="32" fillId="0" borderId="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4" fillId="2" borderId="3" xfId="0" applyFont="1" applyFill="1" applyBorder="1" applyAlignment="1">
      <alignment horizontal="left" indent="1"/>
    </xf>
    <xf numFmtId="0" fontId="4" fillId="3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3" fillId="12" borderId="26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3" fillId="12" borderId="3" xfId="0" applyFont="1" applyFill="1" applyBorder="1" applyAlignment="1">
      <alignment horizontal="center"/>
    </xf>
    <xf numFmtId="165" fontId="4" fillId="13" borderId="3" xfId="0" applyNumberFormat="1" applyFont="1" applyFill="1" applyBorder="1"/>
    <xf numFmtId="165" fontId="4" fillId="13" borderId="14" xfId="0" applyNumberFormat="1" applyFont="1" applyFill="1" applyBorder="1" applyAlignment="1">
      <alignment horizontal="center"/>
    </xf>
    <xf numFmtId="165" fontId="3" fillId="0" borderId="24" xfId="0" applyNumberFormat="1" applyFont="1" applyBorder="1"/>
    <xf numFmtId="9" fontId="3" fillId="0" borderId="40" xfId="0" applyNumberFormat="1" applyFont="1" applyBorder="1" applyAlignment="1">
      <alignment horizontal="center"/>
    </xf>
    <xf numFmtId="0" fontId="0" fillId="0" borderId="0" xfId="0" pivotButton="1"/>
    <xf numFmtId="0" fontId="34" fillId="12" borderId="27" xfId="0" applyFont="1" applyFill="1" applyBorder="1" applyAlignment="1">
      <alignment vertical="center"/>
    </xf>
    <xf numFmtId="0" fontId="4" fillId="13" borderId="3" xfId="0" applyFont="1" applyFill="1" applyBorder="1" applyAlignment="1">
      <alignment horizontal="left" indent="1"/>
    </xf>
    <xf numFmtId="0" fontId="3" fillId="0" borderId="24" xfId="0" applyFont="1" applyBorder="1" applyAlignment="1">
      <alignment horizontal="left" indent="3"/>
    </xf>
    <xf numFmtId="0" fontId="0" fillId="0" borderId="0" xfId="0" pivotButton="1" applyAlignment="1">
      <alignment horizontal="right" vertical="center"/>
    </xf>
    <xf numFmtId="0" fontId="0" fillId="0" borderId="0" xfId="0" applyAlignment="1">
      <alignment horizontal="right" vertical="center"/>
    </xf>
    <xf numFmtId="14" fontId="19" fillId="0" borderId="10" xfId="0" applyNumberFormat="1" applyFont="1" applyBorder="1" applyAlignment="1" applyProtection="1">
      <alignment horizontal="right" vertical="center" indent="1" shrinkToFit="1"/>
      <protection hidden="1"/>
    </xf>
    <xf numFmtId="0" fontId="5" fillId="0" borderId="41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6" fontId="30" fillId="0" borderId="3" xfId="0" applyNumberFormat="1" applyFont="1" applyBorder="1" applyAlignment="1" applyProtection="1">
      <alignment horizontal="left" vertical="center"/>
      <protection hidden="1"/>
    </xf>
    <xf numFmtId="0" fontId="30" fillId="0" borderId="3" xfId="0" applyFont="1" applyBorder="1" applyAlignment="1" applyProtection="1">
      <alignment horizontal="left" vertical="center"/>
      <protection hidden="1"/>
    </xf>
    <xf numFmtId="0" fontId="1" fillId="0" borderId="0" xfId="0" applyFont="1"/>
    <xf numFmtId="0" fontId="5" fillId="10" borderId="47" xfId="0" applyFont="1" applyFill="1" applyBorder="1" applyAlignment="1">
      <alignment horizontal="center"/>
    </xf>
    <xf numFmtId="0" fontId="1" fillId="0" borderId="3" xfId="0" applyFont="1" applyBorder="1"/>
    <xf numFmtId="0" fontId="12" fillId="12" borderId="12" xfId="0" applyFont="1" applyFill="1" applyBorder="1" applyAlignment="1">
      <alignment horizontal="center" vertical="center" textRotation="90"/>
    </xf>
    <xf numFmtId="0" fontId="0" fillId="0" borderId="42" xfId="0" applyBorder="1"/>
    <xf numFmtId="0" fontId="34" fillId="12" borderId="45" xfId="0" applyFont="1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34" fillId="12" borderId="45" xfId="0" applyFont="1" applyFill="1" applyBorder="1" applyAlignment="1">
      <alignment horizontal="center" vertical="center"/>
    </xf>
    <xf numFmtId="0" fontId="34" fillId="12" borderId="45" xfId="0" applyFont="1" applyFill="1" applyBorder="1"/>
    <xf numFmtId="0" fontId="3" fillId="0" borderId="7" xfId="0" applyFont="1" applyBorder="1" applyAlignment="1">
      <alignment horizontal="center" vertical="center"/>
    </xf>
    <xf numFmtId="0" fontId="0" fillId="0" borderId="37" xfId="0" applyBorder="1"/>
    <xf numFmtId="0" fontId="5" fillId="0" borderId="35" xfId="0" applyFont="1" applyBorder="1" applyAlignment="1">
      <alignment horizontal="center" vertical="center" wrapText="1"/>
    </xf>
    <xf numFmtId="0" fontId="0" fillId="0" borderId="27" xfId="0" applyBorder="1"/>
    <xf numFmtId="0" fontId="0" fillId="0" borderId="36" xfId="0" applyBorder="1"/>
    <xf numFmtId="0" fontId="3" fillId="0" borderId="0" xfId="0" applyFont="1"/>
    <xf numFmtId="0" fontId="2" fillId="11" borderId="12" xfId="0" applyFont="1" applyFill="1" applyBorder="1" applyAlignment="1">
      <alignment horizontal="center" vertical="center" textRotation="90"/>
    </xf>
    <xf numFmtId="0" fontId="4" fillId="0" borderId="28" xfId="0" applyFont="1" applyBorder="1" applyAlignment="1">
      <alignment horizontal="left" vertical="center"/>
    </xf>
    <xf numFmtId="0" fontId="0" fillId="0" borderId="22" xfId="0" applyBorder="1"/>
    <xf numFmtId="0" fontId="4" fillId="0" borderId="33" xfId="0" applyFont="1" applyBorder="1" applyAlignment="1">
      <alignment horizontal="center" vertical="center"/>
    </xf>
    <xf numFmtId="0" fontId="0" fillId="0" borderId="34" xfId="0" applyBorder="1"/>
    <xf numFmtId="0" fontId="15" fillId="0" borderId="21" xfId="0" applyFont="1" applyBorder="1" applyAlignment="1">
      <alignment horizontal="center" vertical="center"/>
    </xf>
    <xf numFmtId="0" fontId="0" fillId="0" borderId="38" xfId="0" applyBorder="1"/>
    <xf numFmtId="0" fontId="14" fillId="2" borderId="12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0" fillId="0" borderId="41" xfId="0" applyBorder="1"/>
    <xf numFmtId="0" fontId="2" fillId="0" borderId="3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9" fillId="0" borderId="0" xfId="0" applyFont="1"/>
    <xf numFmtId="0" fontId="19" fillId="0" borderId="22" xfId="0" applyFont="1" applyBorder="1" applyAlignment="1">
      <alignment horizontal="center" vertical="center"/>
    </xf>
    <xf numFmtId="0" fontId="0" fillId="0" borderId="46" xfId="0" applyBorder="1"/>
    <xf numFmtId="0" fontId="18" fillId="4" borderId="12" xfId="0" applyFont="1" applyFill="1" applyBorder="1" applyAlignment="1">
      <alignment horizontal="center" vertical="center" textRotation="90"/>
    </xf>
    <xf numFmtId="0" fontId="18" fillId="7" borderId="45" xfId="0" applyFont="1" applyFill="1" applyBorder="1" applyAlignment="1">
      <alignment horizontal="center"/>
    </xf>
    <xf numFmtId="0" fontId="16" fillId="0" borderId="28" xfId="0" applyFont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 textRotation="90"/>
    </xf>
    <xf numFmtId="0" fontId="18" fillId="7" borderId="45" xfId="0" applyFont="1" applyFill="1" applyBorder="1"/>
    <xf numFmtId="0" fontId="16" fillId="0" borderId="3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top" wrapText="1"/>
    </xf>
    <xf numFmtId="0" fontId="0" fillId="0" borderId="39" xfId="0" applyBorder="1"/>
  </cellXfs>
  <cellStyles count="15">
    <cellStyle name="Comma" xfId="1" builtinId="3"/>
    <cellStyle name="Excel Built-in Normal" xfId="2" xr:uid="{00000000-0005-0000-0000-000002000000}"/>
    <cellStyle name="Followed Hyperlink" xfId="9" builtinId="9" hidden="1"/>
    <cellStyle name="Hyperlink" xfId="8" builtinId="8" hidden="1"/>
    <cellStyle name="Hyperlink 2" xfId="3" xr:uid="{00000000-0005-0000-0000-000003000000}"/>
    <cellStyle name="Hyperlink 3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Normal 3 2" xfId="10" xr:uid="{00000000-0005-0000-0000-00000A000000}"/>
    <cellStyle name="Normal 3 2 2" xfId="14" xr:uid="{00000000-0005-0000-0000-00000E000000}"/>
    <cellStyle name="Normal 3 3" xfId="12" xr:uid="{00000000-0005-0000-0000-00000C000000}"/>
    <cellStyle name="Percent" xfId="7" builtinId="5"/>
    <cellStyle name="Процентный 2" xfId="13" xr:uid="{00000000-0005-0000-0000-00000D000000}"/>
    <cellStyle name="Финансовый 2" xfId="11" xr:uid="{00000000-0005-0000-0000-00000B000000}"/>
  </cellStyles>
  <dxfs count="6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55"/>
      </font>
    </dxf>
    <dxf>
      <font>
        <b/>
        <condense val="0"/>
        <extend val="0"/>
        <color indexed="12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olor theme="0"/>
      </font>
      <fill>
        <patternFill>
          <fgColor auto="1"/>
          <bgColor theme="5" tint="0.39994506668294322"/>
        </patternFill>
      </fill>
    </dxf>
    <dxf>
      <font>
        <b/>
      </font>
      <fill>
        <patternFill patternType="solid">
          <bgColor theme="3" tint="0.79998168889431442"/>
        </patternFill>
      </fill>
    </dxf>
    <dxf>
      <font>
        <b/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uro_2016_Schedule_and_Scoresheet_V1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ies and Timezon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gran Tshorokhyan" refreshedDate="44722.920496527775" createdVersion="4" refreshedVersion="8" minRefreshableVersion="3" recordCount="28" xr:uid="{00000000-000A-0000-FFFF-FFFF7A000000}">
  <cacheSource type="worksheet">
    <worksheetSource name="ranks"/>
  </cacheSource>
  <cacheFields count="7">
    <cacheField name="Rank" numFmtId="0">
      <sharedItems containsSemiMixedTypes="0" containsString="0" containsNumber="1" containsInteger="1" minValue="1" maxValue="32" count="32">
        <n v="1"/>
        <n v="13" u="1"/>
        <n v="5" u="1"/>
        <n v="14" u="1"/>
        <n v="15" u="1"/>
        <n v="2" u="1"/>
        <n v="6" u="1"/>
        <n v="16" u="1"/>
        <n v="17" u="1"/>
        <n v="18" u="1"/>
        <n v="19" u="1"/>
        <n v="7" u="1"/>
        <n v="20" u="1"/>
        <n v="21" u="1"/>
        <n v="22" u="1"/>
        <n v="23" u="1"/>
        <n v="3" u="1"/>
        <n v="8" u="1"/>
        <n v="24" u="1"/>
        <n v="25" u="1"/>
        <n v="9" u="1"/>
        <n v="26" u="1"/>
        <n v="27" u="1"/>
        <n v="10" u="1"/>
        <n v="28" u="1"/>
        <n v="29" u="1"/>
        <n v="11" u="1"/>
        <n v="30" u="1"/>
        <n v="31" u="1"/>
        <n v="4" u="1"/>
        <n v="12" u="1"/>
        <n v="32" u="1"/>
      </sharedItems>
    </cacheField>
    <cacheField name="Name" numFmtId="0">
      <sharedItems containsBlank="1" count="62">
        <s v="Abel"/>
        <s v="Aleksandr"/>
        <s v="Ara"/>
        <s v="Aram GM"/>
        <s v="Aram Tsh."/>
        <s v="Arsen"/>
        <s v="Art Cap"/>
        <s v="Art Doc"/>
        <s v="Davit"/>
        <s v="Edgar H."/>
        <s v="Edgar M."/>
        <s v="Gagik St."/>
        <s v="Hayk St."/>
        <s v="Henrik"/>
        <s v="Hovo St."/>
        <s v="Konstantin"/>
        <s v="Levon M."/>
        <s v="Levon T."/>
        <s v="Mark"/>
        <s v="Rench"/>
        <s v="Ruben"/>
        <s v="Sipan"/>
        <s v="Tigran Gr."/>
        <s v="Tigran H."/>
        <s v="Tigran Tsh."/>
        <s v="Vigen"/>
        <s v="Edmon"/>
        <s v="Minas"/>
        <s v="Hovo H." u="1"/>
        <m u="1"/>
        <s v="Art Doctor" u="1"/>
        <s v="Karen" u="1"/>
        <s v="Vardan" u="1"/>
        <s v="Gohar" u="1"/>
        <s v="Armen M." u="1"/>
        <s v="Davit " u="1"/>
        <s v="Ari" u="1"/>
        <s v="Art Cap." u="1"/>
        <s v="Tigran Kh." u="1"/>
        <s v="Gagik G." u="1"/>
        <s v="Hayk" u="1"/>
        <s v="Aram" u="1"/>
        <s v="Sargis" u="1"/>
        <s v="Edgar" u="1"/>
        <s v="Zakeos" u="1"/>
        <s v="Nikol" u="1"/>
        <s v="Arthur K." u="1"/>
        <s v="Manuk" u="1"/>
        <s v="Levon" u="1"/>
        <s v="Tigran" u="1"/>
        <s v="Mikayel" u="1"/>
        <s v="Hov. St." u="1"/>
        <s v="Art Nahapetyan" u="1"/>
        <s v="Edgar Manukyan" u="1"/>
        <s v="Movses" u="1"/>
        <s v="Narek T." u="1"/>
        <s v="Hamazasp" u="1"/>
        <s v="Arman" u="1"/>
        <s v="Edgar Hakobyan" u="1"/>
        <s v="Gevorg" u="1"/>
        <s v="Tigran Hakobyan" u="1"/>
        <s v="Tigran V. Hakobyan" u="1"/>
      </sharedItems>
    </cacheField>
    <cacheField name="Total" numFmtId="0">
      <sharedItems containsSemiMixedTypes="0" containsString="0" containsNumber="1" containsInteger="1" minValue="0" maxValue="167" count="159">
        <n v="0"/>
        <n v="96" u="1"/>
        <n v="135" u="1"/>
        <n v="57" u="1"/>
        <n v="121" u="1"/>
        <n v="34" u="1"/>
        <n v="75" u="1"/>
        <n v="100" u="1"/>
        <n v="143" u="1"/>
        <n v="13" u="1"/>
        <n v="59" u="1"/>
        <n v="125" u="1"/>
        <n v="36" u="1"/>
        <n v="79" u="1"/>
        <n v="104" u="1"/>
        <n v="151" u="1"/>
        <n v="61" u="1"/>
        <n v="130" u="1"/>
        <n v="38" u="1"/>
        <n v="83" u="1"/>
        <n v="5" u="1"/>
        <n v="108" u="1"/>
        <n v="159" u="1"/>
        <n v="14" u="1"/>
        <n v="63" u="1"/>
        <n v="138" u="1"/>
        <n v="40" u="1"/>
        <n v="87" u="1"/>
        <n v="112" u="1"/>
        <n v="167" u="1"/>
        <n v="66" u="1"/>
        <n v="146" u="1"/>
        <n v="42" u="1"/>
        <n v="91" u="1"/>
        <n v="116" u="1"/>
        <n v="15" u="1"/>
        <n v="70" u="1"/>
        <n v="154" u="1"/>
        <n v="44" u="1"/>
        <n v="95" u="1"/>
        <n v="133" u="1"/>
        <n v="120" u="1"/>
        <n v="74" u="1"/>
        <n v="2" u="1"/>
        <n v="46" u="1"/>
        <n v="99" u="1"/>
        <n v="141" u="1"/>
        <n v="6" u="1"/>
        <n v="124" u="1"/>
        <n v="16" u="1"/>
        <n v="78" u="1"/>
        <n v="48" u="1"/>
        <n v="103" u="1"/>
        <n v="149" u="1"/>
        <n v="128" u="1"/>
        <n v="17" u="1"/>
        <n v="82" u="1"/>
        <n v="50" u="1"/>
        <n v="107" u="1"/>
        <n v="157" u="1"/>
        <n v="136" u="1"/>
        <n v="18" u="1"/>
        <n v="86" u="1"/>
        <n v="52" u="1"/>
        <n v="111" u="1"/>
        <n v="65" u="1"/>
        <n v="144" u="1"/>
        <n v="19" u="1"/>
        <n v="90" u="1"/>
        <n v="54" u="1"/>
        <n v="115" u="1"/>
        <n v="69" u="1"/>
        <n v="152" u="1"/>
        <n v="20" u="1"/>
        <n v="94" u="1"/>
        <n v="131" u="1"/>
        <n v="56" u="1"/>
        <n v="119" u="1"/>
        <n v="33" u="1"/>
        <n v="73" u="1"/>
        <n v="160" u="1"/>
        <n v="21" u="1"/>
        <n v="98" u="1"/>
        <n v="139" u="1"/>
        <n v="58" u="1"/>
        <n v="123" u="1"/>
        <n v="35" u="1"/>
        <n v="77" u="1"/>
        <n v="22" u="1"/>
        <n v="102" u="1"/>
        <n v="147" u="1"/>
        <n v="60" u="1"/>
        <n v="127" u="1"/>
        <n v="37" u="1"/>
        <n v="81" u="1"/>
        <n v="23" u="1"/>
        <n v="106" u="1"/>
        <n v="3" u="1"/>
        <n v="62" u="1"/>
        <n v="134" u="1"/>
        <n v="8" u="1"/>
        <n v="39" u="1"/>
        <n v="85" u="1"/>
        <n v="24" u="1"/>
        <n v="110" u="1"/>
        <n v="163" u="1"/>
        <n v="64" u="1"/>
        <n v="142" u="1"/>
        <n v="41" u="1"/>
        <n v="89" u="1"/>
        <n v="25" u="1"/>
        <n v="114" u="1"/>
        <n v="68" u="1"/>
        <n v="150" u="1"/>
        <n v="9" u="1"/>
        <n v="43" u="1"/>
        <n v="93" u="1"/>
        <n v="129" u="1"/>
        <n v="26" u="1"/>
        <n v="118" u="1"/>
        <n v="72" u="1"/>
        <n v="158" u="1"/>
        <n v="45" u="1"/>
        <n v="97" u="1"/>
        <n v="137" u="1"/>
        <n v="27" u="1"/>
        <n v="122" u="1"/>
        <n v="76" u="1"/>
        <n v="166" u="1"/>
        <n v="10" u="1"/>
        <n v="47" u="1"/>
        <n v="101" u="1"/>
        <n v="145" u="1"/>
        <n v="28" u="1"/>
        <n v="126" u="1"/>
        <n v="80" u="1"/>
        <n v="49" u="1"/>
        <n v="105" u="1"/>
        <n v="29" u="1"/>
        <n v="132" u="1"/>
        <n v="84" u="1"/>
        <n v="11" u="1"/>
        <n v="51" u="1"/>
        <n v="109" u="1"/>
        <n v="30" u="1"/>
        <n v="140" u="1"/>
        <n v="88" u="1"/>
        <n v="53" u="1"/>
        <n v="113" u="1"/>
        <n v="31" u="1"/>
        <n v="67" u="1"/>
        <n v="148" u="1"/>
        <n v="92" u="1"/>
        <n v="12" u="1"/>
        <n v="55" u="1"/>
        <n v="117" u="1"/>
        <n v="32" u="1"/>
        <n v="71" u="1"/>
        <n v="156" u="1"/>
      </sharedItems>
    </cacheField>
    <cacheField name="Group Stage" numFmtId="0">
      <sharedItems containsSemiMixedTypes="0" containsString="0" containsNumber="1" containsInteger="1" minValue="0" maxValue="97" count="89">
        <n v="0"/>
        <n v="57" u="1"/>
        <n v="34" u="1"/>
        <n v="75" u="1"/>
        <n v="13" u="1"/>
        <n v="59" u="1"/>
        <n v="36" u="1"/>
        <n v="79" u="1"/>
        <n v="61" u="1"/>
        <n v="38" u="1"/>
        <n v="5" u="1"/>
        <n v="14" u="1"/>
        <n v="63" u="1"/>
        <n v="40" u="1"/>
        <n v="66" u="1"/>
        <n v="42" u="1"/>
        <n v="91" u="1"/>
        <n v="15" u="1"/>
        <n v="70" u="1"/>
        <n v="44" u="1"/>
        <n v="95" u="1"/>
        <n v="74" u="1"/>
        <n v="46" u="1"/>
        <n v="6" u="1"/>
        <n v="16" u="1"/>
        <n v="78" u="1"/>
        <n v="48" u="1"/>
        <n v="17" u="1"/>
        <n v="82" u="1"/>
        <n v="50" u="1"/>
        <n v="18" u="1"/>
        <n v="86" u="1"/>
        <n v="52" u="1"/>
        <n v="65" u="1"/>
        <n v="19" u="1"/>
        <n v="54" u="1"/>
        <n v="69" u="1"/>
        <n v="20" u="1"/>
        <n v="94" u="1"/>
        <n v="56" u="1"/>
        <n v="33" u="1"/>
        <n v="73" u="1"/>
        <n v="21" u="1"/>
        <n v="58" u="1"/>
        <n v="35" u="1"/>
        <n v="77" u="1"/>
        <n v="22" u="1"/>
        <n v="60" u="1"/>
        <n v="37" u="1"/>
        <n v="81" u="1"/>
        <n v="23" u="1"/>
        <n v="3" u="1"/>
        <n v="62" u="1"/>
        <n v="8" u="1"/>
        <n v="39" u="1"/>
        <n v="85" u="1"/>
        <n v="24" u="1"/>
        <n v="64" u="1"/>
        <n v="41" u="1"/>
        <n v="89" u="1"/>
        <n v="25" u="1"/>
        <n v="68" u="1"/>
        <n v="9" u="1"/>
        <n v="43" u="1"/>
        <n v="93" u="1"/>
        <n v="26" u="1"/>
        <n v="72" u="1"/>
        <n v="45" u="1"/>
        <n v="97" u="1"/>
        <n v="27" u="1"/>
        <n v="76" u="1"/>
        <n v="47" u="1"/>
        <n v="28" u="1"/>
        <n v="80" u="1"/>
        <n v="49" u="1"/>
        <n v="29" u="1"/>
        <n v="84" u="1"/>
        <n v="11" u="1"/>
        <n v="51" u="1"/>
        <n v="30" u="1"/>
        <n v="88" u="1"/>
        <n v="53" u="1"/>
        <n v="31" u="1"/>
        <n v="67" u="1"/>
        <n v="92" u="1"/>
        <n v="12" u="1"/>
        <n v="55" u="1"/>
        <n v="32" u="1"/>
        <n v="71" u="1"/>
      </sharedItems>
    </cacheField>
    <cacheField name="Play-off teams" numFmtId="0">
      <sharedItems containsSemiMixedTypes="0" containsString="0" containsNumber="1" containsInteger="1" minValue="0" maxValue="30" count="16">
        <n v="0"/>
        <n v="14" u="1"/>
        <n v="2" u="1"/>
        <n v="6" u="1"/>
        <n v="16" u="1"/>
        <n v="18" u="1"/>
        <n v="20" u="1"/>
        <n v="22" u="1"/>
        <n v="8" u="1"/>
        <n v="24" u="1"/>
        <n v="26" u="1"/>
        <n v="10" u="1"/>
        <n v="28" u="1"/>
        <n v="30" u="1"/>
        <n v="4" u="1"/>
        <n v="12" u="1"/>
      </sharedItems>
    </cacheField>
    <cacheField name="Winner" numFmtId="0">
      <sharedItems containsSemiMixedTypes="0" containsString="0" containsNumber="1" containsInteger="1" minValue="0" maxValue="8" count="2">
        <n v="0"/>
        <n v="8" u="1"/>
      </sharedItems>
    </cacheField>
    <cacheField name="Play-off Stage" numFmtId="0">
      <sharedItems containsSemiMixedTypes="0" containsString="0" containsNumber="1" containsInteger="1" minValue="0" maxValue="55" count="50">
        <n v="0"/>
        <n v="34" u="1"/>
        <n v="13" u="1"/>
        <n v="36" u="1"/>
        <n v="38" u="1"/>
        <n v="5" u="1"/>
        <n v="14" u="1"/>
        <n v="40" u="1"/>
        <n v="42" u="1"/>
        <n v="15" u="1"/>
        <n v="44" u="1"/>
        <n v="2" u="1"/>
        <n v="46" u="1"/>
        <n v="6" u="1"/>
        <n v="16" u="1"/>
        <n v="17" u="1"/>
        <n v="50" u="1"/>
        <n v="18" u="1"/>
        <n v="19" u="1"/>
        <n v="7" u="1"/>
        <n v="20" u="1"/>
        <n v="33" u="1"/>
        <n v="21" u="1"/>
        <n v="35" u="1"/>
        <n v="22" u="1"/>
        <n v="37" u="1"/>
        <n v="1" u="1"/>
        <n v="23" u="1"/>
        <n v="3" u="1"/>
        <n v="8" u="1"/>
        <n v="39" u="1"/>
        <n v="24" u="1"/>
        <n v="41" u="1"/>
        <n v="25" u="1"/>
        <n v="9" u="1"/>
        <n v="43" u="1"/>
        <n v="26" u="1"/>
        <n v="27" u="1"/>
        <n v="10" u="1"/>
        <n v="28" u="1"/>
        <n v="49" u="1"/>
        <n v="29" u="1"/>
        <n v="11" u="1"/>
        <n v="30" u="1"/>
        <n v="53" u="1"/>
        <n v="31" u="1"/>
        <n v="4" u="1"/>
        <n v="12" u="1"/>
        <n v="55" u="1"/>
        <n v="3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  <x v="0"/>
    <x v="0"/>
  </r>
  <r>
    <x v="0"/>
    <x v="1"/>
    <x v="0"/>
    <x v="0"/>
    <x v="0"/>
    <x v="0"/>
    <x v="0"/>
  </r>
  <r>
    <x v="0"/>
    <x v="2"/>
    <x v="0"/>
    <x v="0"/>
    <x v="0"/>
    <x v="0"/>
    <x v="0"/>
  </r>
  <r>
    <x v="0"/>
    <x v="3"/>
    <x v="0"/>
    <x v="0"/>
    <x v="0"/>
    <x v="0"/>
    <x v="0"/>
  </r>
  <r>
    <x v="0"/>
    <x v="4"/>
    <x v="0"/>
    <x v="0"/>
    <x v="0"/>
    <x v="0"/>
    <x v="0"/>
  </r>
  <r>
    <x v="0"/>
    <x v="5"/>
    <x v="0"/>
    <x v="0"/>
    <x v="0"/>
    <x v="0"/>
    <x v="0"/>
  </r>
  <r>
    <x v="0"/>
    <x v="6"/>
    <x v="0"/>
    <x v="0"/>
    <x v="0"/>
    <x v="0"/>
    <x v="0"/>
  </r>
  <r>
    <x v="0"/>
    <x v="7"/>
    <x v="0"/>
    <x v="0"/>
    <x v="0"/>
    <x v="0"/>
    <x v="0"/>
  </r>
  <r>
    <x v="0"/>
    <x v="8"/>
    <x v="0"/>
    <x v="0"/>
    <x v="0"/>
    <x v="0"/>
    <x v="0"/>
  </r>
  <r>
    <x v="0"/>
    <x v="9"/>
    <x v="0"/>
    <x v="0"/>
    <x v="0"/>
    <x v="0"/>
    <x v="0"/>
  </r>
  <r>
    <x v="0"/>
    <x v="10"/>
    <x v="0"/>
    <x v="0"/>
    <x v="0"/>
    <x v="0"/>
    <x v="0"/>
  </r>
  <r>
    <x v="0"/>
    <x v="11"/>
    <x v="0"/>
    <x v="0"/>
    <x v="0"/>
    <x v="0"/>
    <x v="0"/>
  </r>
  <r>
    <x v="0"/>
    <x v="12"/>
    <x v="0"/>
    <x v="0"/>
    <x v="0"/>
    <x v="0"/>
    <x v="0"/>
  </r>
  <r>
    <x v="0"/>
    <x v="13"/>
    <x v="0"/>
    <x v="0"/>
    <x v="0"/>
    <x v="0"/>
    <x v="0"/>
  </r>
  <r>
    <x v="0"/>
    <x v="14"/>
    <x v="0"/>
    <x v="0"/>
    <x v="0"/>
    <x v="0"/>
    <x v="0"/>
  </r>
  <r>
    <x v="0"/>
    <x v="15"/>
    <x v="0"/>
    <x v="0"/>
    <x v="0"/>
    <x v="0"/>
    <x v="0"/>
  </r>
  <r>
    <x v="0"/>
    <x v="16"/>
    <x v="0"/>
    <x v="0"/>
    <x v="0"/>
    <x v="0"/>
    <x v="0"/>
  </r>
  <r>
    <x v="0"/>
    <x v="17"/>
    <x v="0"/>
    <x v="0"/>
    <x v="0"/>
    <x v="0"/>
    <x v="0"/>
  </r>
  <r>
    <x v="0"/>
    <x v="18"/>
    <x v="0"/>
    <x v="0"/>
    <x v="0"/>
    <x v="0"/>
    <x v="0"/>
  </r>
  <r>
    <x v="0"/>
    <x v="19"/>
    <x v="0"/>
    <x v="0"/>
    <x v="0"/>
    <x v="0"/>
    <x v="0"/>
  </r>
  <r>
    <x v="0"/>
    <x v="20"/>
    <x v="0"/>
    <x v="0"/>
    <x v="0"/>
    <x v="0"/>
    <x v="0"/>
  </r>
  <r>
    <x v="0"/>
    <x v="21"/>
    <x v="0"/>
    <x v="0"/>
    <x v="0"/>
    <x v="0"/>
    <x v="0"/>
  </r>
  <r>
    <x v="0"/>
    <x v="22"/>
    <x v="0"/>
    <x v="0"/>
    <x v="0"/>
    <x v="0"/>
    <x v="0"/>
  </r>
  <r>
    <x v="0"/>
    <x v="23"/>
    <x v="0"/>
    <x v="0"/>
    <x v="0"/>
    <x v="0"/>
    <x v="0"/>
  </r>
  <r>
    <x v="0"/>
    <x v="24"/>
    <x v="0"/>
    <x v="0"/>
    <x v="0"/>
    <x v="0"/>
    <x v="0"/>
  </r>
  <r>
    <x v="0"/>
    <x v="25"/>
    <x v="0"/>
    <x v="0"/>
    <x v="0"/>
    <x v="0"/>
    <x v="0"/>
  </r>
  <r>
    <x v="0"/>
    <x v="26"/>
    <x v="0"/>
    <x v="0"/>
    <x v="0"/>
    <x v="0"/>
    <x v="0"/>
  </r>
  <r>
    <x v="0"/>
    <x v="27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8" applyNumberFormats="0" applyBorderFormats="0" applyFontFormats="0" applyPatternFormats="0" applyAlignmentFormats="0" applyWidthHeightFormats="1" dataCaption="Values" updatedVersion="8" minRefreshableVersion="3" showDrill="0" showDataTips="0" rowGrandTotals="0" colGrandTotals="0" itemPrintTitles="1" createdVersion="4" indent="0" compact="0" compactData="0" multipleFieldFilters="0">
  <location ref="A1:G29" firstHeaderRow="1" firstDataRow="1" firstDataCol="7"/>
  <pivotFields count="7">
    <pivotField axis="axisRow" compact="0" outline="0" showAll="0" sortType="ascending" defaultSubtotal="0">
      <items count="32">
        <item x="0"/>
        <item m="1" x="5"/>
        <item m="1" x="16"/>
        <item m="1" x="29"/>
        <item m="1" x="2"/>
        <item m="1" x="6"/>
        <item m="1" x="11"/>
        <item m="1" x="17"/>
        <item m="1" x="20"/>
        <item m="1" x="23"/>
        <item m="1" x="26"/>
        <item m="1" x="30"/>
        <item m="1" x="1"/>
        <item m="1" x="3"/>
        <item m="1" x="4"/>
        <item m="1" x="7"/>
        <item m="1" x="8"/>
        <item m="1" x="9"/>
        <item m="1" x="10"/>
        <item m="1" x="12"/>
        <item m="1" x="13"/>
        <item m="1" x="14"/>
        <item m="1" x="15"/>
        <item m="1" x="18"/>
        <item m="1" x="19"/>
        <item m="1" x="21"/>
        <item m="1" x="22"/>
        <item m="1" x="24"/>
        <item m="1" x="25"/>
        <item m="1" x="27"/>
        <item m="1" x="28"/>
        <item m="1" x="31"/>
      </items>
    </pivotField>
    <pivotField axis="axisRow" compact="0" outline="0" showAll="0" defaultSubtotal="0">
      <items count="62">
        <item x="0"/>
        <item x="2"/>
        <item x="3"/>
        <item m="1" x="36"/>
        <item m="1" x="34"/>
        <item x="5"/>
        <item m="1" x="30"/>
        <item m="1" x="52"/>
        <item m="1" x="46"/>
        <item m="1" x="35"/>
        <item m="1" x="58"/>
        <item m="1" x="53"/>
        <item m="1" x="39"/>
        <item x="11"/>
        <item m="1" x="56"/>
        <item x="12"/>
        <item m="1" x="28"/>
        <item m="1" x="44"/>
        <item x="14"/>
        <item m="1" x="47"/>
        <item m="1" x="50"/>
        <item x="27"/>
        <item m="1" x="54"/>
        <item m="1" x="55"/>
        <item m="1" x="45"/>
        <item m="1" x="42"/>
        <item x="21"/>
        <item m="1" x="49"/>
        <item m="1" x="60"/>
        <item m="1" x="38"/>
        <item x="24"/>
        <item m="1" x="61"/>
        <item x="25"/>
        <item m="1" x="29"/>
        <item m="1" x="41"/>
        <item m="1" x="57"/>
        <item x="7"/>
        <item m="1" x="37"/>
        <item m="1" x="43"/>
        <item m="1" x="59"/>
        <item m="1" x="33"/>
        <item m="1" x="40"/>
        <item x="13"/>
        <item m="1" x="51"/>
        <item m="1" x="48"/>
        <item x="23"/>
        <item m="1" x="32"/>
        <item x="10"/>
        <item m="1" x="31"/>
        <item x="9"/>
        <item x="1"/>
        <item x="4"/>
        <item x="6"/>
        <item x="8"/>
        <item x="15"/>
        <item x="16"/>
        <item x="17"/>
        <item x="18"/>
        <item x="19"/>
        <item x="20"/>
        <item x="22"/>
        <item x="26"/>
      </items>
    </pivotField>
    <pivotField axis="axisRow" compact="0" outline="0" showAll="0" defaultSubtotal="0">
      <items count="159">
        <item x="0"/>
        <item m="1" x="97"/>
        <item m="1" x="20"/>
        <item m="1" x="43"/>
        <item m="1" x="129"/>
        <item m="1" x="9"/>
        <item m="1" x="100"/>
        <item m="1" x="141"/>
        <item m="1" x="23"/>
        <item m="1" x="114"/>
        <item m="1" x="67"/>
        <item m="1" x="55"/>
        <item m="1" x="47"/>
        <item m="1" x="88"/>
        <item m="1" x="49"/>
        <item m="1" x="103"/>
        <item m="1" x="153"/>
        <item m="1" x="35"/>
        <item m="1" x="73"/>
        <item m="1" x="110"/>
        <item m="1" x="138"/>
        <item m="1" x="61"/>
        <item m="1" x="133"/>
        <item m="1" x="125"/>
        <item m="1" x="5"/>
        <item m="1" x="95"/>
        <item m="1" x="81"/>
        <item m="1" x="149"/>
        <item m="1" x="93"/>
        <item m="1" x="144"/>
        <item m="1" x="26"/>
        <item m="1" x="118"/>
        <item m="1" x="86"/>
        <item m="1" x="115"/>
        <item m="1" x="156"/>
        <item m="1" x="78"/>
        <item m="1" x="18"/>
        <item m="1" x="32"/>
        <item m="1" x="44"/>
        <item m="1" x="12"/>
        <item m="1" x="108"/>
        <item m="1" x="122"/>
        <item m="1" x="136"/>
        <item m="1" x="101"/>
        <item m="1" x="130"/>
        <item m="1" x="51"/>
        <item m="1" x="63"/>
        <item m="1" x="142"/>
        <item m="1" x="154"/>
        <item m="1" x="147"/>
        <item m="1" x="38"/>
        <item m="1" x="57"/>
        <item m="1" x="76"/>
        <item m="1" x="69"/>
        <item m="1" x="3"/>
        <item m="1" x="24"/>
        <item m="1" x="150"/>
        <item m="1" x="36"/>
        <item m="1" x="98"/>
        <item m="1" x="84"/>
        <item m="1" x="91"/>
        <item m="1" x="112"/>
        <item m="1" x="10"/>
        <item m="1" x="79"/>
        <item m="1" x="65"/>
        <item m="1" x="16"/>
        <item m="1" x="106"/>
        <item m="1" x="157"/>
        <item m="1" x="6"/>
        <item m="1" x="71"/>
        <item m="1" x="42"/>
        <item m="1" x="87"/>
        <item m="1" x="120"/>
        <item m="1" x="13"/>
        <item m="1" x="50"/>
        <item m="1" x="62"/>
        <item m="1" x="127"/>
        <item m="1" x="135"/>
        <item m="1" x="19"/>
        <item m="1" x="30"/>
        <item m="1" x="102"/>
        <item m="1" x="68"/>
        <item m="1" x="94"/>
        <item m="1" x="116"/>
        <item m="1" x="56"/>
        <item m="1" x="39"/>
        <item m="1" x="109"/>
        <item m="1" x="146"/>
        <item m="1" x="89"/>
        <item m="1" x="140"/>
        <item m="1" x="1"/>
        <item m="1" x="82"/>
        <item m="1" x="152"/>
        <item m="1" x="33"/>
        <item m="1" x="137"/>
        <item m="1" x="27"/>
        <item m="1" x="123"/>
        <item m="1" x="14"/>
        <item m="1" x="96"/>
        <item m="1" x="45"/>
        <item m="1" x="7"/>
        <item m="1" x="74"/>
        <item m="1" x="131"/>
        <item m="1" x="143"/>
        <item m="1" x="70"/>
        <item m="1" x="148"/>
        <item m="1" x="111"/>
        <item m="1" x="58"/>
        <item m="1" x="64"/>
        <item m="1" x="52"/>
        <item m="1" x="155"/>
        <item m="1" x="77"/>
        <item m="1" x="104"/>
        <item m="1" x="41"/>
        <item m="1" x="21"/>
        <item m="1" x="4"/>
        <item m="1" x="126"/>
        <item m="1" x="119"/>
        <item m="1" x="34"/>
        <item m="1" x="48"/>
        <item m="1" x="134"/>
        <item m="1" x="28"/>
        <item m="1" x="11"/>
        <item m="1" x="92"/>
        <item m="1" x="85"/>
        <item m="1" x="54"/>
        <item m="1" x="117"/>
        <item m="1" x="40"/>
        <item m="1" x="139"/>
        <item m="1" x="60"/>
        <item m="1" x="99"/>
        <item m="1" x="124"/>
        <item m="1" x="17"/>
        <item m="1" x="2"/>
        <item m="1" x="25"/>
        <item m="1" x="75"/>
        <item m="1" x="46"/>
        <item m="1" x="107"/>
        <item m="1" x="8"/>
        <item m="1" x="83"/>
        <item m="1" x="145"/>
        <item m="1" x="31"/>
        <item m="1" x="53"/>
        <item m="1" x="132"/>
        <item m="1" x="66"/>
        <item m="1" x="151"/>
        <item m="1" x="90"/>
        <item m="1" x="72"/>
        <item m="1" x="113"/>
        <item m="1" x="37"/>
        <item m="1" x="158"/>
        <item m="1" x="15"/>
        <item m="1" x="121"/>
        <item m="1" x="80"/>
        <item m="1" x="22"/>
        <item m="1" x="105"/>
        <item m="1" x="59"/>
        <item m="1" x="128"/>
        <item m="1" x="29"/>
      </items>
    </pivotField>
    <pivotField axis="axisRow" compact="0" outline="0" showAll="0" sortType="ascending" defaultSubtotal="0">
      <items count="89">
        <item x="0"/>
        <item m="1" x="51"/>
        <item m="1" x="10"/>
        <item m="1" x="23"/>
        <item m="1" x="53"/>
        <item m="1" x="62"/>
        <item m="1" x="77"/>
        <item m="1" x="85"/>
        <item m="1" x="4"/>
        <item m="1" x="11"/>
        <item m="1" x="17"/>
        <item m="1" x="24"/>
        <item m="1" x="27"/>
        <item m="1" x="30"/>
        <item m="1" x="34"/>
        <item m="1" x="37"/>
        <item m="1" x="42"/>
        <item m="1" x="46"/>
        <item m="1" x="50"/>
        <item m="1" x="56"/>
        <item m="1" x="60"/>
        <item m="1" x="65"/>
        <item m="1" x="69"/>
        <item m="1" x="72"/>
        <item m="1" x="75"/>
        <item m="1" x="79"/>
        <item m="1" x="82"/>
        <item m="1" x="87"/>
        <item m="1" x="40"/>
        <item m="1" x="2"/>
        <item m="1" x="44"/>
        <item m="1" x="6"/>
        <item m="1" x="48"/>
        <item m="1" x="9"/>
        <item m="1" x="54"/>
        <item m="1" x="13"/>
        <item m="1" x="58"/>
        <item m="1" x="15"/>
        <item m="1" x="63"/>
        <item m="1" x="19"/>
        <item m="1" x="67"/>
        <item m="1" x="22"/>
        <item m="1" x="71"/>
        <item m="1" x="26"/>
        <item m="1" x="74"/>
        <item m="1" x="29"/>
        <item m="1" x="78"/>
        <item m="1" x="32"/>
        <item m="1" x="81"/>
        <item m="1" x="35"/>
        <item m="1" x="86"/>
        <item m="1" x="39"/>
        <item m="1" x="1"/>
        <item m="1" x="43"/>
        <item m="1" x="5"/>
        <item m="1" x="47"/>
        <item m="1" x="8"/>
        <item m="1" x="52"/>
        <item m="1" x="12"/>
        <item m="1" x="57"/>
        <item m="1" x="33"/>
        <item m="1" x="14"/>
        <item m="1" x="83"/>
        <item m="1" x="61"/>
        <item m="1" x="36"/>
        <item m="1" x="18"/>
        <item m="1" x="88"/>
        <item m="1" x="66"/>
        <item m="1" x="41"/>
        <item m="1" x="21"/>
        <item m="1" x="3"/>
        <item m="1" x="70"/>
        <item m="1" x="45"/>
        <item m="1" x="25"/>
        <item m="1" x="7"/>
        <item m="1" x="73"/>
        <item m="1" x="49"/>
        <item m="1" x="28"/>
        <item m="1" x="76"/>
        <item m="1" x="55"/>
        <item m="1" x="31"/>
        <item m="1" x="80"/>
        <item m="1" x="59"/>
        <item m="1" x="16"/>
        <item m="1" x="84"/>
        <item m="1" x="64"/>
        <item m="1" x="38"/>
        <item m="1" x="20"/>
        <item m="1" x="68"/>
      </items>
    </pivotField>
    <pivotField axis="axisRow" compact="0" outline="0" showAll="0" sortType="ascending" defaultSubtotal="0">
      <items count="16">
        <item x="0"/>
        <item m="1" x="2"/>
        <item m="1" x="14"/>
        <item m="1" x="3"/>
        <item m="1" x="8"/>
        <item m="1" x="11"/>
        <item m="1" x="15"/>
        <item m="1" x="1"/>
        <item m="1" x="4"/>
        <item m="1" x="5"/>
        <item m="1" x="6"/>
        <item m="1" x="7"/>
        <item m="1" x="9"/>
        <item m="1" x="10"/>
        <item m="1" x="12"/>
        <item m="1" x="13"/>
      </items>
    </pivotField>
    <pivotField axis="axisRow" compact="0" outline="0" showAll="0" defaultSubtotal="0">
      <items count="2">
        <item x="0"/>
        <item m="1" x="1"/>
      </items>
    </pivotField>
    <pivotField axis="axisRow" compact="0" outline="0" showAll="0" defaultSubtotal="0">
      <items count="50">
        <item x="0"/>
        <item m="1" x="5"/>
        <item m="1" x="47"/>
        <item m="1" x="28"/>
        <item m="1" x="13"/>
        <item m="1" x="26"/>
        <item m="1" x="46"/>
        <item m="1" x="29"/>
        <item m="1" x="11"/>
        <item m="1" x="15"/>
        <item m="1" x="19"/>
        <item m="1" x="18"/>
        <item m="1" x="38"/>
        <item m="1" x="6"/>
        <item m="1" x="2"/>
        <item m="1" x="42"/>
        <item m="1" x="34"/>
        <item m="1" x="9"/>
        <item m="1" x="37"/>
        <item m="1" x="14"/>
        <item m="1" x="22"/>
        <item m="1" x="49"/>
        <item m="1" x="17"/>
        <item m="1" x="31"/>
        <item m="1" x="36"/>
        <item m="1" x="20"/>
        <item m="1" x="24"/>
        <item m="1" x="23"/>
        <item m="1" x="33"/>
        <item m="1" x="3"/>
        <item m="1" x="27"/>
        <item m="1" x="41"/>
        <item m="1" x="43"/>
        <item m="1" x="8"/>
        <item m="1" x="39"/>
        <item m="1" x="7"/>
        <item m="1" x="30"/>
        <item m="1" x="45"/>
        <item m="1" x="10"/>
        <item m="1" x="21"/>
        <item m="1" x="1"/>
        <item m="1" x="35"/>
        <item m="1" x="25"/>
        <item m="1" x="4"/>
        <item m="1" x="40"/>
        <item m="1" x="32"/>
        <item m="1" x="48"/>
        <item m="1" x="12"/>
        <item m="1" x="16"/>
        <item m="1" x="44"/>
      </items>
    </pivotField>
  </pivotFields>
  <rowFields count="7">
    <field x="0"/>
    <field x="1"/>
    <field x="2"/>
    <field x="3"/>
    <field x="4"/>
    <field x="6"/>
    <field x="5"/>
  </rowFields>
  <rowItems count="28">
    <i>
      <x/>
      <x/>
      <x/>
      <x/>
      <x/>
      <x/>
      <x/>
    </i>
    <i r="1">
      <x v="1"/>
      <x/>
      <x/>
      <x/>
      <x/>
      <x/>
    </i>
    <i r="1">
      <x v="2"/>
      <x/>
      <x/>
      <x/>
      <x/>
      <x/>
    </i>
    <i r="1">
      <x v="5"/>
      <x/>
      <x/>
      <x/>
      <x/>
      <x/>
    </i>
    <i r="1">
      <x v="13"/>
      <x/>
      <x/>
      <x/>
      <x/>
      <x/>
    </i>
    <i r="1">
      <x v="15"/>
      <x/>
      <x/>
      <x/>
      <x/>
      <x/>
    </i>
    <i r="1">
      <x v="18"/>
      <x/>
      <x/>
      <x/>
      <x/>
      <x/>
    </i>
    <i r="1">
      <x v="21"/>
      <x/>
      <x/>
      <x/>
      <x/>
      <x/>
    </i>
    <i r="1">
      <x v="26"/>
      <x/>
      <x/>
      <x/>
      <x/>
      <x/>
    </i>
    <i r="1">
      <x v="30"/>
      <x/>
      <x/>
      <x/>
      <x/>
      <x/>
    </i>
    <i r="1">
      <x v="32"/>
      <x/>
      <x/>
      <x/>
      <x/>
      <x/>
    </i>
    <i r="1">
      <x v="36"/>
      <x/>
      <x/>
      <x/>
      <x/>
      <x/>
    </i>
    <i r="1">
      <x v="42"/>
      <x/>
      <x/>
      <x/>
      <x/>
      <x/>
    </i>
    <i r="1">
      <x v="45"/>
      <x/>
      <x/>
      <x/>
      <x/>
      <x/>
    </i>
    <i r="1">
      <x v="47"/>
      <x/>
      <x/>
      <x/>
      <x/>
      <x/>
    </i>
    <i r="1">
      <x v="49"/>
      <x/>
      <x/>
      <x/>
      <x/>
      <x/>
    </i>
    <i r="1">
      <x v="50"/>
      <x/>
      <x/>
      <x/>
      <x/>
      <x/>
    </i>
    <i r="1">
      <x v="51"/>
      <x/>
      <x/>
      <x/>
      <x/>
      <x/>
    </i>
    <i r="1">
      <x v="52"/>
      <x/>
      <x/>
      <x/>
      <x/>
      <x/>
    </i>
    <i r="1">
      <x v="53"/>
      <x/>
      <x/>
      <x/>
      <x/>
      <x/>
    </i>
    <i r="1">
      <x v="54"/>
      <x/>
      <x/>
      <x/>
      <x/>
      <x/>
    </i>
    <i r="1">
      <x v="55"/>
      <x/>
      <x/>
      <x/>
      <x/>
      <x/>
    </i>
    <i r="1">
      <x v="56"/>
      <x/>
      <x/>
      <x/>
      <x/>
      <x/>
    </i>
    <i r="1">
      <x v="57"/>
      <x/>
      <x/>
      <x/>
      <x/>
      <x/>
    </i>
    <i r="1">
      <x v="58"/>
      <x/>
      <x/>
      <x/>
      <x/>
      <x/>
    </i>
    <i r="1">
      <x v="59"/>
      <x/>
      <x/>
      <x/>
      <x/>
      <x/>
    </i>
    <i r="1">
      <x v="60"/>
      <x/>
      <x/>
      <x/>
      <x/>
      <x/>
    </i>
    <i r="1">
      <x v="61"/>
      <x/>
      <x/>
      <x/>
      <x/>
      <x/>
    </i>
  </rowItems>
  <colItems count="1">
    <i/>
  </colItems>
  <formats count="44">
    <format dxfId="634">
      <pivotArea field="2" type="button" dataOnly="0" labelOnly="1" outline="0" axis="axisRow" fieldPosition="2"/>
    </format>
    <format dxfId="6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2"/>
          </reference>
          <reference field="2" count="1">
            <x v="103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2" count="1">
            <x v="98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97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88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8"/>
          </reference>
          <reference field="2" count="1">
            <x v="102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00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5"/>
          </reference>
          <reference field="2" count="1">
            <x v="99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2" count="1">
            <x v="90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8"/>
          </reference>
          <reference field="2" count="1">
            <x v="85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31"/>
          </reference>
          <reference field="2" count="1">
            <x v="101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"/>
          </reference>
          <reference field="2" count="1">
            <x v="92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9"/>
          </reference>
          <reference field="2" count="1">
            <x v="93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"/>
          </reference>
          <reference field="2" count="1">
            <x v="81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"/>
          </reference>
          <reference field="2" count="1">
            <x v="87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"/>
          </reference>
          <reference field="2" count="1">
            <x v="95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19"/>
          </reference>
          <reference field="2" count="1">
            <x v="75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22"/>
          </reference>
          <reference field="2" count="1">
            <x v="80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0"/>
          </reference>
          <reference field="2" count="1">
            <x v="89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1"/>
          </reference>
          <reference field="2" count="1">
            <x v="82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9"/>
          </reference>
          <reference field="2" count="1">
            <x v="74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12"/>
          </reference>
          <reference field="2" count="1">
            <x v="76"/>
          </reference>
        </references>
      </pivotArea>
    </format>
    <format dxfId="612">
      <pivotArea field="2" type="button" dataOnly="0" labelOnly="1" outline="0" axis="axisRow" fieldPosition="2"/>
    </format>
    <format dxfId="6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2"/>
          </reference>
          <reference field="2" count="1">
            <x v="103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2" count="1">
            <x v="98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97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88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8"/>
          </reference>
          <reference field="2" count="1">
            <x v="102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00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5"/>
          </reference>
          <reference field="2" count="1">
            <x v="99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2" count="1">
            <x v="90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8"/>
          </reference>
          <reference field="2" count="1">
            <x v="85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31"/>
          </reference>
          <reference field="2" count="1">
            <x v="101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"/>
          </reference>
          <reference field="2" count="1">
            <x v="92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9"/>
          </reference>
          <reference field="2" count="1">
            <x v="93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"/>
          </reference>
          <reference field="2" count="1">
            <x v="81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"/>
          </reference>
          <reference field="2" count="1">
            <x v="87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"/>
          </reference>
          <reference field="2" count="1">
            <x v="95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19"/>
          </reference>
          <reference field="2" count="1">
            <x v="75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22"/>
          </reference>
          <reference field="2" count="1">
            <x v="80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0"/>
          </reference>
          <reference field="2" count="1">
            <x v="89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1"/>
          </reference>
          <reference field="2" count="1">
            <x v="82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9"/>
          </reference>
          <reference field="2" count="1">
            <x v="74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12"/>
          </reference>
          <reference field="2" count="1">
            <x v="7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zoomScale="115" zoomScaleNormal="115" zoomScalePageLayoutView="115" workbookViewId="0">
      <selection activeCell="C32" sqref="C32"/>
    </sheetView>
  </sheetViews>
  <sheetFormatPr baseColWidth="10" defaultColWidth="11" defaultRowHeight="13"/>
  <cols>
    <col min="1" max="1" width="5.33203125" style="1" customWidth="1"/>
    <col min="2" max="2" width="16.5" style="1" bestFit="1" customWidth="1"/>
    <col min="3" max="3" width="7.5" style="1" customWidth="1"/>
    <col min="4" max="7" width="12.83203125" style="1" customWidth="1"/>
    <col min="8" max="8" width="10.83203125" style="1" hidden="1" customWidth="1"/>
    <col min="9" max="9" width="8.6640625" style="1" bestFit="1" customWidth="1"/>
    <col min="10" max="10" width="9" style="6" customWidth="1"/>
    <col min="11" max="11" width="16.5" style="1" bestFit="1" customWidth="1"/>
    <col min="12" max="21" width="7.33203125" style="1" customWidth="1"/>
    <col min="22" max="22" width="10.5" style="1" customWidth="1"/>
    <col min="23" max="23" width="5.5" style="1" customWidth="1"/>
    <col min="24" max="24" width="7.6640625" style="1" customWidth="1"/>
    <col min="25" max="27" width="5.83203125" style="1" customWidth="1"/>
    <col min="28" max="28" width="7.6640625" style="1" customWidth="1"/>
    <col min="29" max="29" width="5.33203125" style="1" customWidth="1"/>
    <col min="30" max="30" width="7.6640625" style="1" customWidth="1"/>
    <col min="31" max="31" width="10.5" style="1" bestFit="1" customWidth="1"/>
    <col min="32" max="37" width="11" style="1" customWidth="1"/>
    <col min="38" max="16384" width="11" style="1"/>
  </cols>
  <sheetData>
    <row r="1" spans="1:11">
      <c r="A1" s="95" t="s">
        <v>0</v>
      </c>
      <c r="B1" s="96" t="s">
        <v>1</v>
      </c>
      <c r="C1" s="97" t="s">
        <v>2</v>
      </c>
      <c r="D1" s="98" t="s">
        <v>3</v>
      </c>
      <c r="E1" s="99" t="s">
        <v>4</v>
      </c>
      <c r="F1" s="100" t="s">
        <v>5</v>
      </c>
      <c r="G1" s="99" t="s">
        <v>6</v>
      </c>
      <c r="H1" s="19" t="s">
        <v>7</v>
      </c>
      <c r="I1" s="61">
        <v>240000</v>
      </c>
      <c r="J1" s="62" t="s">
        <v>8</v>
      </c>
      <c r="K1" s="63" t="s">
        <v>9</v>
      </c>
    </row>
    <row r="2" spans="1:11">
      <c r="A2" s="101">
        <f>RANK(C2,C$2:C$28)</f>
        <v>1</v>
      </c>
      <c r="B2" s="94" t="s">
        <v>10</v>
      </c>
      <c r="C2" s="102">
        <f t="shared" ref="C2:C28" si="0">SUM(D2:G2)</f>
        <v>0</v>
      </c>
      <c r="D2" s="9">
        <f>INDEX('Group Stage'!$I$3:$DL$3,1,MATCH(B2,'Group Stage'!$I$1:$DL$1,0))</f>
        <v>0</v>
      </c>
      <c r="E2" s="9">
        <f>INDEX('Playoff &amp; Winner'!$D$52:$DG$52,1,MATCH(B2,'Playoff &amp; Winner'!$D$2:$DG$2,0))</f>
        <v>0</v>
      </c>
      <c r="F2" s="9">
        <f>INDEX('Playoff &amp; Winner'!$D$52:$DG$52,1,MATCH(B2,'Playoff &amp; Winner'!$D$2:$DG$2,0)+1)</f>
        <v>0</v>
      </c>
      <c r="G2" s="9">
        <f>INDEX('Playoff Stage'!$I$3:$DL$3,1,MATCH(B2,'Playoff Stage'!$I$1:$DL$1,0))</f>
        <v>0</v>
      </c>
      <c r="H2" s="20">
        <f t="shared" ref="H2:H28" si="1">C2*1000000000+D2*1000000+E2*10000+F2*100+G2+(100-COUNTIF($B$2:$B$28,"&lt;"&amp;B2))/1000</f>
        <v>0.1</v>
      </c>
      <c r="I2" s="64">
        <f>I1*J2</f>
        <v>96000</v>
      </c>
      <c r="J2" s="65">
        <v>0.4</v>
      </c>
      <c r="K2" s="66" t="s">
        <v>11</v>
      </c>
    </row>
    <row r="3" spans="1:11">
      <c r="A3" s="101">
        <f t="shared" ref="A3:A28" si="2">RANK(C3,C$2:C$28)</f>
        <v>1</v>
      </c>
      <c r="B3" s="94" t="s">
        <v>12</v>
      </c>
      <c r="C3" s="102">
        <f t="shared" si="0"/>
        <v>0</v>
      </c>
      <c r="D3" s="9">
        <f>INDEX('Group Stage'!$I$3:$DL$3,1,MATCH(B3,'Group Stage'!$I$1:$DL$1,0))</f>
        <v>0</v>
      </c>
      <c r="E3" s="9">
        <f>INDEX('Playoff &amp; Winner'!$D$52:$DG$52,1,MATCH(B3,'Playoff &amp; Winner'!$D$2:$DG$2,0))</f>
        <v>0</v>
      </c>
      <c r="F3" s="9">
        <f>INDEX('Playoff &amp; Winner'!$D$52:$DG$52,1,MATCH(B3,'Playoff &amp; Winner'!$D$2:$DG$2,0)+1)</f>
        <v>0</v>
      </c>
      <c r="G3" s="9">
        <f>INDEX('Playoff Stage'!$I$3:$DL$3,1,MATCH(B3,'Playoff Stage'!$I$1:$DL$1,0))</f>
        <v>0</v>
      </c>
      <c r="H3" s="20">
        <f t="shared" si="1"/>
        <v>9.9000000000000005E-2</v>
      </c>
      <c r="I3" s="64">
        <f>I1*J3</f>
        <v>48000</v>
      </c>
      <c r="J3" s="65">
        <v>0.2</v>
      </c>
      <c r="K3" s="66" t="s">
        <v>13</v>
      </c>
    </row>
    <row r="4" spans="1:11">
      <c r="A4" s="101">
        <f t="shared" si="2"/>
        <v>1</v>
      </c>
      <c r="B4" s="94" t="s">
        <v>14</v>
      </c>
      <c r="C4" s="102">
        <f t="shared" si="0"/>
        <v>0</v>
      </c>
      <c r="D4" s="9">
        <f>INDEX('Group Stage'!$I$3:$DL$3,1,MATCH(B4,'Group Stage'!$I$1:$DL$1,0))</f>
        <v>0</v>
      </c>
      <c r="E4" s="9">
        <f>INDEX('Playoff &amp; Winner'!$D$52:$DG$52,1,MATCH(B4,'Playoff &amp; Winner'!$D$2:$DG$2,0))</f>
        <v>0</v>
      </c>
      <c r="F4" s="9">
        <f>INDEX('Playoff &amp; Winner'!$D$52:$DG$52,1,MATCH(B4,'Playoff &amp; Winner'!$D$2:$DG$2,0)+1)</f>
        <v>0</v>
      </c>
      <c r="G4" s="9">
        <f>INDEX('Playoff Stage'!$I$3:$DL$3,1,MATCH(B4,'Playoff Stage'!$I$1:$DL$1,0))</f>
        <v>0</v>
      </c>
      <c r="H4" s="20">
        <f t="shared" si="1"/>
        <v>9.8000000000000004E-2</v>
      </c>
      <c r="I4" s="64">
        <f>I1*J4</f>
        <v>36000</v>
      </c>
      <c r="J4" s="65">
        <v>0.15</v>
      </c>
      <c r="K4" s="66" t="s">
        <v>15</v>
      </c>
    </row>
    <row r="5" spans="1:11">
      <c r="A5" s="101">
        <f t="shared" si="2"/>
        <v>1</v>
      </c>
      <c r="B5" s="94" t="s">
        <v>16</v>
      </c>
      <c r="C5" s="102">
        <f t="shared" si="0"/>
        <v>0</v>
      </c>
      <c r="D5" s="9">
        <f>INDEX('Group Stage'!$I$3:$DL$3,1,MATCH(B5,'Group Stage'!$I$1:$DL$1,0))</f>
        <v>0</v>
      </c>
      <c r="E5" s="9">
        <f>INDEX('Playoff &amp; Winner'!$D$52:$DG$52,1,MATCH(B5,'Playoff &amp; Winner'!$D$2:$DG$2,0))</f>
        <v>0</v>
      </c>
      <c r="F5" s="9">
        <f>INDEX('Playoff &amp; Winner'!$D$52:$DG$52,1,MATCH(B5,'Playoff &amp; Winner'!$D$2:$DG$2,0)+1)</f>
        <v>0</v>
      </c>
      <c r="G5" s="9">
        <f>INDEX('Playoff Stage'!$I$3:$DL$3,1,MATCH(B5,'Playoff Stage'!$I$1:$DL$1,0))</f>
        <v>0</v>
      </c>
      <c r="H5" s="20">
        <f t="shared" si="1"/>
        <v>9.7000000000000003E-2</v>
      </c>
      <c r="I5" s="64">
        <f>I1*J5</f>
        <v>24000</v>
      </c>
      <c r="J5" s="65">
        <v>0.1</v>
      </c>
      <c r="K5" s="66" t="s">
        <v>17</v>
      </c>
    </row>
    <row r="6" spans="1:11">
      <c r="A6" s="101">
        <f t="shared" si="2"/>
        <v>1</v>
      </c>
      <c r="B6" s="94" t="s">
        <v>18</v>
      </c>
      <c r="C6" s="102">
        <f t="shared" si="0"/>
        <v>0</v>
      </c>
      <c r="D6" s="9">
        <f>INDEX('Group Stage'!$I$3:$DL$3,1,MATCH(B6,'Group Stage'!$I$1:$DL$1,0))</f>
        <v>0</v>
      </c>
      <c r="E6" s="9">
        <f>INDEX('Playoff &amp; Winner'!$D$52:$DG$52,1,MATCH(B6,'Playoff &amp; Winner'!$D$2:$DG$2,0))</f>
        <v>0</v>
      </c>
      <c r="F6" s="9">
        <f>INDEX('Playoff &amp; Winner'!$D$52:$DG$52,1,MATCH(B6,'Playoff &amp; Winner'!$D$2:$DG$2,0)+1)</f>
        <v>0</v>
      </c>
      <c r="G6" s="9">
        <f>INDEX('Playoff Stage'!$I$3:$DL$3,1,MATCH(B6,'Playoff Stage'!$I$1:$DL$1,0))</f>
        <v>0</v>
      </c>
      <c r="H6" s="20">
        <f t="shared" si="1"/>
        <v>9.6000000000000002E-2</v>
      </c>
      <c r="I6" s="64">
        <f>I1*J6</f>
        <v>16800</v>
      </c>
      <c r="J6" s="65">
        <v>7.0000000000000007E-2</v>
      </c>
      <c r="K6" s="66" t="s">
        <v>19</v>
      </c>
    </row>
    <row r="7" spans="1:11">
      <c r="A7" s="101">
        <f t="shared" si="2"/>
        <v>1</v>
      </c>
      <c r="B7" s="94" t="s">
        <v>20</v>
      </c>
      <c r="C7" s="102">
        <f t="shared" si="0"/>
        <v>0</v>
      </c>
      <c r="D7" s="9">
        <f>INDEX('Group Stage'!$I$3:$DL$3,1,MATCH(B7,'Group Stage'!$I$1:$DL$1,0))</f>
        <v>0</v>
      </c>
      <c r="E7" s="9">
        <f>INDEX('Playoff &amp; Winner'!$D$52:$DG$52,1,MATCH(B7,'Playoff &amp; Winner'!$D$2:$DG$2,0))</f>
        <v>0</v>
      </c>
      <c r="F7" s="9">
        <f>INDEX('Playoff &amp; Winner'!$D$52:$DG$52,1,MATCH(B7,'Playoff &amp; Winner'!$D$2:$DG$2,0)+1)</f>
        <v>0</v>
      </c>
      <c r="G7" s="9">
        <f>INDEX('Playoff Stage'!$I$3:$DL$3,1,MATCH(B7,'Playoff Stage'!$I$1:$DL$1,0))</f>
        <v>0</v>
      </c>
      <c r="H7" s="20">
        <f t="shared" si="1"/>
        <v>9.5000000000000001E-2</v>
      </c>
      <c r="I7" s="64">
        <f>I1*J7</f>
        <v>12000</v>
      </c>
      <c r="J7" s="65">
        <v>0.05</v>
      </c>
      <c r="K7" s="66" t="s">
        <v>21</v>
      </c>
    </row>
    <row r="8" spans="1:11">
      <c r="A8" s="101">
        <f t="shared" si="2"/>
        <v>1</v>
      </c>
      <c r="B8" s="94" t="s">
        <v>22</v>
      </c>
      <c r="C8" s="102">
        <f t="shared" si="0"/>
        <v>0</v>
      </c>
      <c r="D8" s="9">
        <f>INDEX('Group Stage'!$I$3:$DL$3,1,MATCH(B8,'Group Stage'!$I$1:$DL$1,0))</f>
        <v>0</v>
      </c>
      <c r="E8" s="9">
        <f>INDEX('Playoff &amp; Winner'!$D$52:$DG$52,1,MATCH(B8,'Playoff &amp; Winner'!$D$2:$DG$2,0))</f>
        <v>0</v>
      </c>
      <c r="F8" s="9">
        <f>INDEX('Playoff &amp; Winner'!$D$52:$DG$52,1,MATCH(B8,'Playoff &amp; Winner'!$D$2:$DG$2,0)+1)</f>
        <v>0</v>
      </c>
      <c r="G8" s="9">
        <f>INDEX('Playoff Stage'!$I$3:$DL$3,1,MATCH(B8,'Playoff Stage'!$I$1:$DL$1,0))</f>
        <v>0</v>
      </c>
      <c r="H8" s="20">
        <f t="shared" si="1"/>
        <v>9.4E-2</v>
      </c>
      <c r="I8" s="64">
        <f>I1*J8</f>
        <v>7200</v>
      </c>
      <c r="J8" s="65">
        <v>0.03</v>
      </c>
      <c r="K8" s="66" t="s">
        <v>23</v>
      </c>
    </row>
    <row r="9" spans="1:11">
      <c r="A9" s="101">
        <f t="shared" si="2"/>
        <v>1</v>
      </c>
      <c r="B9" s="94" t="s">
        <v>24</v>
      </c>
      <c r="C9" s="102">
        <f t="shared" si="0"/>
        <v>0</v>
      </c>
      <c r="D9" s="9">
        <f>INDEX('Group Stage'!$I$3:$DL$3,1,MATCH(B9,'Group Stage'!$I$1:$DL$1,0))</f>
        <v>0</v>
      </c>
      <c r="E9" s="9">
        <f>INDEX('Playoff &amp; Winner'!$D$52:$DG$52,1,MATCH(B9,'Playoff &amp; Winner'!$D$2:$DG$2,0))</f>
        <v>0</v>
      </c>
      <c r="F9" s="9">
        <f>INDEX('Playoff &amp; Winner'!$D$52:$DG$52,1,MATCH(B9,'Playoff &amp; Winner'!$D$2:$DG$2,0)+1)</f>
        <v>0</v>
      </c>
      <c r="G9" s="9">
        <f>INDEX('Playoff Stage'!$I$3:$DL$3,1,MATCH(B9,'Playoff Stage'!$I$1:$DL$1,0))</f>
        <v>0</v>
      </c>
      <c r="H9" s="20">
        <f t="shared" si="1"/>
        <v>9.2999999999999999E-2</v>
      </c>
    </row>
    <row r="10" spans="1:11">
      <c r="A10" s="101">
        <f t="shared" si="2"/>
        <v>1</v>
      </c>
      <c r="B10" s="94" t="s">
        <v>25</v>
      </c>
      <c r="C10" s="102">
        <f t="shared" si="0"/>
        <v>0</v>
      </c>
      <c r="D10" s="9">
        <f>INDEX('Group Stage'!$I$3:$DL$3,1,MATCH(B10,'Group Stage'!$I$1:$DL$1,0))</f>
        <v>0</v>
      </c>
      <c r="E10" s="9">
        <f>INDEX('Playoff &amp; Winner'!$D$52:$DG$52,1,MATCH(B10,'Playoff &amp; Winner'!$D$2:$DG$2,0))</f>
        <v>0</v>
      </c>
      <c r="F10" s="9">
        <f>INDEX('Playoff &amp; Winner'!$D$52:$DG$52,1,MATCH(B10,'Playoff &amp; Winner'!$D$2:$DG$2,0)+1)</f>
        <v>0</v>
      </c>
      <c r="G10" s="9">
        <f>INDEX('Playoff Stage'!$I$3:$DL$3,1,MATCH(B10,'Playoff Stage'!$I$1:$DL$1,0))</f>
        <v>0</v>
      </c>
      <c r="H10" s="20">
        <f t="shared" si="1"/>
        <v>9.1999999999999998E-2</v>
      </c>
      <c r="J10" s="24"/>
    </row>
    <row r="11" spans="1:11">
      <c r="A11" s="101">
        <f t="shared" si="2"/>
        <v>1</v>
      </c>
      <c r="B11" s="94" t="s">
        <v>26</v>
      </c>
      <c r="C11" s="102">
        <f t="shared" si="0"/>
        <v>0</v>
      </c>
      <c r="D11" s="9">
        <f>INDEX('Group Stage'!$I$3:$DL$3,1,MATCH(B11,'Group Stage'!$I$1:$DL$1,0))</f>
        <v>0</v>
      </c>
      <c r="E11" s="9">
        <f>INDEX('Playoff &amp; Winner'!$D$52:$DG$52,1,MATCH(B11,'Playoff &amp; Winner'!$D$2:$DG$2,0))</f>
        <v>0</v>
      </c>
      <c r="F11" s="9">
        <f>INDEX('Playoff &amp; Winner'!$D$52:$DG$52,1,MATCH(B11,'Playoff &amp; Winner'!$D$2:$DG$2,0)+1)</f>
        <v>0</v>
      </c>
      <c r="G11" s="9">
        <f>INDEX('Playoff Stage'!$I$3:$DL$3,1,MATCH(B11,'Playoff Stage'!$I$1:$DL$1,0))</f>
        <v>0</v>
      </c>
      <c r="H11" s="20">
        <f t="shared" si="1"/>
        <v>9.0999999999999998E-2</v>
      </c>
    </row>
    <row r="12" spans="1:11">
      <c r="A12" s="101">
        <f t="shared" si="2"/>
        <v>1</v>
      </c>
      <c r="B12" s="94" t="s">
        <v>27</v>
      </c>
      <c r="C12" s="102">
        <f t="shared" si="0"/>
        <v>0</v>
      </c>
      <c r="D12" s="9">
        <f>INDEX('Group Stage'!$I$3:$DL$3,1,MATCH(B12,'Group Stage'!$I$1:$DL$1,0))</f>
        <v>0</v>
      </c>
      <c r="E12" s="9">
        <f>INDEX('Playoff &amp; Winner'!$D$52:$DG$52,1,MATCH(B12,'Playoff &amp; Winner'!$D$2:$DG$2,0))</f>
        <v>0</v>
      </c>
      <c r="F12" s="9">
        <f>INDEX('Playoff &amp; Winner'!$D$52:$DG$52,1,MATCH(B12,'Playoff &amp; Winner'!$D$2:$DG$2,0)+1)</f>
        <v>0</v>
      </c>
      <c r="G12" s="9">
        <f>INDEX('Playoff Stage'!$I$3:$DL$3,1,MATCH(B12,'Playoff Stage'!$I$1:$DL$1,0))</f>
        <v>0</v>
      </c>
      <c r="H12" s="20">
        <f t="shared" si="1"/>
        <v>0.09</v>
      </c>
    </row>
    <row r="13" spans="1:11">
      <c r="A13" s="101">
        <f t="shared" si="2"/>
        <v>1</v>
      </c>
      <c r="B13" s="94" t="s">
        <v>28</v>
      </c>
      <c r="C13" s="102">
        <f t="shared" si="0"/>
        <v>0</v>
      </c>
      <c r="D13" s="9">
        <f>INDEX('Group Stage'!$I$3:$DL$3,1,MATCH(B13,'Group Stage'!$I$1:$DL$1,0))</f>
        <v>0</v>
      </c>
      <c r="E13" s="9">
        <f>INDEX('Playoff &amp; Winner'!$D$52:$DG$52,1,MATCH(B13,'Playoff &amp; Winner'!$D$2:$DG$2,0))</f>
        <v>0</v>
      </c>
      <c r="F13" s="9">
        <f>INDEX('Playoff &amp; Winner'!$D$52:$DG$52,1,MATCH(B13,'Playoff &amp; Winner'!$D$2:$DG$2,0)+1)</f>
        <v>0</v>
      </c>
      <c r="G13" s="9">
        <f>INDEX('Playoff Stage'!$I$3:$DL$3,1,MATCH(B13,'Playoff Stage'!$I$1:$DL$1,0))</f>
        <v>0</v>
      </c>
      <c r="H13" s="20">
        <f t="shared" si="1"/>
        <v>8.7999999999999995E-2</v>
      </c>
    </row>
    <row r="14" spans="1:11">
      <c r="A14" s="101">
        <f t="shared" si="2"/>
        <v>1</v>
      </c>
      <c r="B14" s="94" t="s">
        <v>29</v>
      </c>
      <c r="C14" s="102">
        <f t="shared" si="0"/>
        <v>0</v>
      </c>
      <c r="D14" s="9">
        <f>INDEX('Group Stage'!$I$3:$DL$3,1,MATCH(B14,'Group Stage'!$I$1:$DL$1,0))</f>
        <v>0</v>
      </c>
      <c r="E14" s="9">
        <f>INDEX('Playoff &amp; Winner'!$D$52:$DG$52,1,MATCH(B14,'Playoff &amp; Winner'!$D$2:$DG$2,0))</f>
        <v>0</v>
      </c>
      <c r="F14" s="9">
        <f>INDEX('Playoff &amp; Winner'!$D$52:$DG$52,1,MATCH(B14,'Playoff &amp; Winner'!$D$2:$DG$2,0)+1)</f>
        <v>0</v>
      </c>
      <c r="G14" s="9">
        <f>INDEX('Playoff Stage'!$I$3:$DL$3,1,MATCH(B14,'Playoff Stage'!$I$1:$DL$1,0))</f>
        <v>0</v>
      </c>
      <c r="H14" s="20">
        <f t="shared" si="1"/>
        <v>8.6999999999999994E-2</v>
      </c>
    </row>
    <row r="15" spans="1:11">
      <c r="A15" s="101">
        <f t="shared" si="2"/>
        <v>1</v>
      </c>
      <c r="B15" s="94" t="s">
        <v>30</v>
      </c>
      <c r="C15" s="102">
        <f t="shared" si="0"/>
        <v>0</v>
      </c>
      <c r="D15" s="9">
        <f>INDEX('Group Stage'!$I$3:$DL$3,1,MATCH(B15,'Group Stage'!$I$1:$DL$1,0))</f>
        <v>0</v>
      </c>
      <c r="E15" s="9">
        <f>INDEX('Playoff &amp; Winner'!$D$52:$DG$52,1,MATCH(B15,'Playoff &amp; Winner'!$D$2:$DG$2,0))</f>
        <v>0</v>
      </c>
      <c r="F15" s="9">
        <f>INDEX('Playoff &amp; Winner'!$D$52:$DG$52,1,MATCH(B15,'Playoff &amp; Winner'!$D$2:$DG$2,0)+1)</f>
        <v>0</v>
      </c>
      <c r="G15" s="9">
        <f>INDEX('Playoff Stage'!$I$3:$DL$3,1,MATCH(B15,'Playoff Stage'!$I$1:$DL$1,0))</f>
        <v>0</v>
      </c>
      <c r="H15" s="20">
        <f t="shared" si="1"/>
        <v>8.5999999999999993E-2</v>
      </c>
    </row>
    <row r="16" spans="1:11">
      <c r="A16" s="101">
        <f t="shared" si="2"/>
        <v>1</v>
      </c>
      <c r="B16" s="94" t="s">
        <v>31</v>
      </c>
      <c r="C16" s="102">
        <f t="shared" si="0"/>
        <v>0</v>
      </c>
      <c r="D16" s="9">
        <f>INDEX('Group Stage'!$I$3:$DL$3,1,MATCH(B16,'Group Stage'!$I$1:$DL$1,0))</f>
        <v>0</v>
      </c>
      <c r="E16" s="9">
        <f>INDEX('Playoff &amp; Winner'!$D$52:$DG$52,1,MATCH(B16,'Playoff &amp; Winner'!$D$2:$DG$2,0))</f>
        <v>0</v>
      </c>
      <c r="F16" s="9">
        <f>INDEX('Playoff &amp; Winner'!$D$52:$DG$52,1,MATCH(B16,'Playoff &amp; Winner'!$D$2:$DG$2,0)+1)</f>
        <v>0</v>
      </c>
      <c r="G16" s="9">
        <f>INDEX('Playoff Stage'!$I$3:$DL$3,1,MATCH(B16,'Playoff Stage'!$I$1:$DL$1,0))</f>
        <v>0</v>
      </c>
      <c r="H16" s="20">
        <f t="shared" si="1"/>
        <v>8.5000000000000006E-2</v>
      </c>
    </row>
    <row r="17" spans="1:10">
      <c r="A17" s="101">
        <f t="shared" si="2"/>
        <v>1</v>
      </c>
      <c r="B17" s="94" t="s">
        <v>32</v>
      </c>
      <c r="C17" s="102">
        <f t="shared" si="0"/>
        <v>0</v>
      </c>
      <c r="D17" s="9">
        <f>INDEX('Group Stage'!$I$3:$DL$3,1,MATCH(B17,'Group Stage'!$I$1:$DL$1,0))</f>
        <v>0</v>
      </c>
      <c r="E17" s="9">
        <f>INDEX('Playoff &amp; Winner'!$D$52:$DG$52,1,MATCH(B17,'Playoff &amp; Winner'!$D$2:$DG$2,0))</f>
        <v>0</v>
      </c>
      <c r="F17" s="9">
        <f>INDEX('Playoff &amp; Winner'!$D$52:$DG$52,1,MATCH(B17,'Playoff &amp; Winner'!$D$2:$DG$2,0)+1)</f>
        <v>0</v>
      </c>
      <c r="G17" s="9">
        <f>INDEX('Playoff Stage'!$I$3:$DL$3,1,MATCH(B17,'Playoff Stage'!$I$1:$DL$1,0))</f>
        <v>0</v>
      </c>
      <c r="H17" s="20">
        <f t="shared" si="1"/>
        <v>8.4000000000000005E-2</v>
      </c>
    </row>
    <row r="18" spans="1:10">
      <c r="A18" s="101">
        <f t="shared" si="2"/>
        <v>1</v>
      </c>
      <c r="B18" s="94" t="s">
        <v>33</v>
      </c>
      <c r="C18" s="102">
        <f t="shared" si="0"/>
        <v>0</v>
      </c>
      <c r="D18" s="9">
        <f>INDEX('Group Stage'!$I$3:$DL$3,1,MATCH(B18,'Group Stage'!$I$1:$DL$1,0))</f>
        <v>0</v>
      </c>
      <c r="E18" s="9">
        <f>INDEX('Playoff &amp; Winner'!$D$52:$DG$52,1,MATCH(B18,'Playoff &amp; Winner'!$D$2:$DG$2,0))</f>
        <v>0</v>
      </c>
      <c r="F18" s="9">
        <f>INDEX('Playoff &amp; Winner'!$D$52:$DG$52,1,MATCH(B18,'Playoff &amp; Winner'!$D$2:$DG$2,0)+1)</f>
        <v>0</v>
      </c>
      <c r="G18" s="9">
        <f>INDEX('Playoff Stage'!$I$3:$DL$3,1,MATCH(B18,'Playoff Stage'!$I$1:$DL$1,0))</f>
        <v>0</v>
      </c>
      <c r="H18" s="20">
        <f t="shared" si="1"/>
        <v>8.3000000000000004E-2</v>
      </c>
    </row>
    <row r="19" spans="1:10">
      <c r="A19" s="101">
        <f t="shared" si="2"/>
        <v>1</v>
      </c>
      <c r="B19" s="94" t="s">
        <v>34</v>
      </c>
      <c r="C19" s="102">
        <f t="shared" si="0"/>
        <v>0</v>
      </c>
      <c r="D19" s="9">
        <f>INDEX('Group Stage'!$I$3:$DL$3,1,MATCH(B19,'Group Stage'!$I$1:$DL$1,0))</f>
        <v>0</v>
      </c>
      <c r="E19" s="9">
        <f>INDEX('Playoff &amp; Winner'!$D$52:$DG$52,1,MATCH(B19,'Playoff &amp; Winner'!$D$2:$DG$2,0))</f>
        <v>0</v>
      </c>
      <c r="F19" s="9">
        <f>INDEX('Playoff &amp; Winner'!$D$52:$DG$52,1,MATCH(B19,'Playoff &amp; Winner'!$D$2:$DG$2,0)+1)</f>
        <v>0</v>
      </c>
      <c r="G19" s="9">
        <f>INDEX('Playoff Stage'!$I$3:$DL$3,1,MATCH(B19,'Playoff Stage'!$I$1:$DL$1,0))</f>
        <v>0</v>
      </c>
      <c r="H19" s="20">
        <f t="shared" si="1"/>
        <v>8.2000000000000003E-2</v>
      </c>
    </row>
    <row r="20" spans="1:10">
      <c r="A20" s="101">
        <f t="shared" si="2"/>
        <v>1</v>
      </c>
      <c r="B20" s="94" t="s">
        <v>35</v>
      </c>
      <c r="C20" s="102">
        <f t="shared" si="0"/>
        <v>0</v>
      </c>
      <c r="D20" s="9">
        <f>INDEX('Group Stage'!$I$3:$DL$3,1,MATCH(B20,'Group Stage'!$I$1:$DL$1,0))</f>
        <v>0</v>
      </c>
      <c r="E20" s="9">
        <f>INDEX('Playoff &amp; Winner'!$D$52:$DG$52,1,MATCH(B20,'Playoff &amp; Winner'!$D$2:$DG$2,0))</f>
        <v>0</v>
      </c>
      <c r="F20" s="9">
        <f>INDEX('Playoff &amp; Winner'!$D$52:$DG$52,1,MATCH(B20,'Playoff &amp; Winner'!$D$2:$DG$2,0)+1)</f>
        <v>0</v>
      </c>
      <c r="G20" s="9">
        <f>INDEX('Playoff Stage'!$I$3:$DL$3,1,MATCH(B20,'Playoff Stage'!$I$1:$DL$1,0))</f>
        <v>0</v>
      </c>
      <c r="H20" s="20">
        <f t="shared" si="1"/>
        <v>8.1000000000000003E-2</v>
      </c>
      <c r="J20" s="1"/>
    </row>
    <row r="21" spans="1:10">
      <c r="A21" s="101">
        <f t="shared" si="2"/>
        <v>1</v>
      </c>
      <c r="B21" s="94" t="s">
        <v>36</v>
      </c>
      <c r="C21" s="102">
        <f t="shared" si="0"/>
        <v>0</v>
      </c>
      <c r="D21" s="9">
        <f>INDEX('Group Stage'!$I$3:$DL$3,1,MATCH(B21,'Group Stage'!$I$1:$DL$1,0))</f>
        <v>0</v>
      </c>
      <c r="E21" s="9">
        <f>INDEX('Playoff &amp; Winner'!$D$52:$DG$52,1,MATCH(B21,'Playoff &amp; Winner'!$D$2:$DG$2,0))</f>
        <v>0</v>
      </c>
      <c r="F21" s="9">
        <f>INDEX('Playoff &amp; Winner'!$D$52:$DG$52,1,MATCH(B21,'Playoff &amp; Winner'!$D$2:$DG$2,0)+1)</f>
        <v>0</v>
      </c>
      <c r="G21" s="9">
        <f>INDEX('Playoff Stage'!$I$3:$DL$3,1,MATCH(B21,'Playoff Stage'!$I$1:$DL$1,0))</f>
        <v>0</v>
      </c>
      <c r="H21" s="20">
        <f t="shared" si="1"/>
        <v>0.08</v>
      </c>
      <c r="J21" s="1"/>
    </row>
    <row r="22" spans="1:10">
      <c r="A22" s="101">
        <f t="shared" si="2"/>
        <v>1</v>
      </c>
      <c r="B22" s="94" t="s">
        <v>37</v>
      </c>
      <c r="C22" s="102">
        <f t="shared" si="0"/>
        <v>0</v>
      </c>
      <c r="D22" s="9">
        <f>INDEX('Group Stage'!$I$3:$DL$3,1,MATCH(B22,'Group Stage'!$I$1:$DL$1,0))</f>
        <v>0</v>
      </c>
      <c r="E22" s="9">
        <f>INDEX('Playoff &amp; Winner'!$D$52:$DG$52,1,MATCH(B22,'Playoff &amp; Winner'!$D$2:$DG$2,0))</f>
        <v>0</v>
      </c>
      <c r="F22" s="9">
        <f>INDEX('Playoff &amp; Winner'!$D$52:$DG$52,1,MATCH(B22,'Playoff &amp; Winner'!$D$2:$DG$2,0)+1)</f>
        <v>0</v>
      </c>
      <c r="G22" s="9">
        <f>INDEX('Playoff Stage'!$I$3:$DL$3,1,MATCH(B22,'Playoff Stage'!$I$1:$DL$1,0))</f>
        <v>0</v>
      </c>
      <c r="H22" s="20">
        <f t="shared" si="1"/>
        <v>7.9000000000000001E-2</v>
      </c>
      <c r="J22" s="1"/>
    </row>
    <row r="23" spans="1:10">
      <c r="A23" s="101">
        <f t="shared" si="2"/>
        <v>1</v>
      </c>
      <c r="B23" s="94" t="s">
        <v>38</v>
      </c>
      <c r="C23" s="102">
        <f t="shared" si="0"/>
        <v>0</v>
      </c>
      <c r="D23" s="9">
        <f>INDEX('Group Stage'!$I$3:$DL$3,1,MATCH(B23,'Group Stage'!$I$1:$DL$1,0))</f>
        <v>0</v>
      </c>
      <c r="E23" s="9">
        <f>INDEX('Playoff &amp; Winner'!$D$52:$DG$52,1,MATCH(B23,'Playoff &amp; Winner'!$D$2:$DG$2,0))</f>
        <v>0</v>
      </c>
      <c r="F23" s="9">
        <f>INDEX('Playoff &amp; Winner'!$D$52:$DG$52,1,MATCH(B23,'Playoff &amp; Winner'!$D$2:$DG$2,0)+1)</f>
        <v>0</v>
      </c>
      <c r="G23" s="9">
        <f>INDEX('Playoff Stage'!$I$3:$DL$3,1,MATCH(B23,'Playoff Stage'!$I$1:$DL$1,0))</f>
        <v>0</v>
      </c>
      <c r="H23" s="20">
        <f t="shared" si="1"/>
        <v>7.8E-2</v>
      </c>
      <c r="J23" s="1"/>
    </row>
    <row r="24" spans="1:10">
      <c r="A24" s="101">
        <f t="shared" si="2"/>
        <v>1</v>
      </c>
      <c r="B24" s="94" t="s">
        <v>39</v>
      </c>
      <c r="C24" s="102">
        <f t="shared" si="0"/>
        <v>0</v>
      </c>
      <c r="D24" s="9">
        <f>INDEX('Group Stage'!$I$3:$DL$3,1,MATCH(B24,'Group Stage'!$I$1:$DL$1,0))</f>
        <v>0</v>
      </c>
      <c r="E24" s="9">
        <f>INDEX('Playoff &amp; Winner'!$D$52:$DG$52,1,MATCH(B24,'Playoff &amp; Winner'!$D$2:$DG$2,0))</f>
        <v>0</v>
      </c>
      <c r="F24" s="9">
        <f>INDEX('Playoff &amp; Winner'!$D$52:$DG$52,1,MATCH(B24,'Playoff &amp; Winner'!$D$2:$DG$2,0)+1)</f>
        <v>0</v>
      </c>
      <c r="G24" s="9">
        <f>INDEX('Playoff Stage'!$I$3:$DL$3,1,MATCH(B24,'Playoff Stage'!$I$1:$DL$1,0))</f>
        <v>0</v>
      </c>
      <c r="H24" s="20">
        <f t="shared" si="1"/>
        <v>7.6999999999999999E-2</v>
      </c>
      <c r="J24" s="1"/>
    </row>
    <row r="25" spans="1:10">
      <c r="A25" s="101">
        <f t="shared" si="2"/>
        <v>1</v>
      </c>
      <c r="B25" s="94" t="s">
        <v>40</v>
      </c>
      <c r="C25" s="102">
        <f t="shared" si="0"/>
        <v>0</v>
      </c>
      <c r="D25" s="9">
        <f>INDEX('Group Stage'!$I$3:$DL$3,1,MATCH(B25,'Group Stage'!$I$1:$DL$1,0))</f>
        <v>0</v>
      </c>
      <c r="E25" s="9">
        <f>INDEX('Playoff &amp; Winner'!$D$52:$DG$52,1,MATCH(B25,'Playoff &amp; Winner'!$D$2:$DG$2,0))</f>
        <v>0</v>
      </c>
      <c r="F25" s="9">
        <f>INDEX('Playoff &amp; Winner'!$D$52:$DG$52,1,MATCH(B25,'Playoff &amp; Winner'!$D$2:$DG$2,0)+1)</f>
        <v>0</v>
      </c>
      <c r="G25" s="9">
        <f>INDEX('Playoff Stage'!$I$3:$DL$3,1,MATCH(B25,'Playoff Stage'!$I$1:$DL$1,0))</f>
        <v>0</v>
      </c>
      <c r="H25" s="20">
        <f t="shared" si="1"/>
        <v>7.5999999999999998E-2</v>
      </c>
      <c r="J25" s="1"/>
    </row>
    <row r="26" spans="1:10">
      <c r="A26" s="101">
        <f t="shared" si="2"/>
        <v>1</v>
      </c>
      <c r="B26" s="94" t="s">
        <v>41</v>
      </c>
      <c r="C26" s="102">
        <f t="shared" si="0"/>
        <v>0</v>
      </c>
      <c r="D26" s="9">
        <f>INDEX('Group Stage'!$I$3:$DL$3,1,MATCH(B26,'Group Stage'!$I$1:$DL$1,0))</f>
        <v>0</v>
      </c>
      <c r="E26" s="9">
        <f>INDEX('Playoff &amp; Winner'!$D$52:$DG$52,1,MATCH(B26,'Playoff &amp; Winner'!$D$2:$DG$2,0))</f>
        <v>0</v>
      </c>
      <c r="F26" s="9">
        <f>INDEX('Playoff &amp; Winner'!$D$52:$DG$52,1,MATCH(B26,'Playoff &amp; Winner'!$D$2:$DG$2,0)+1)</f>
        <v>0</v>
      </c>
      <c r="G26" s="9">
        <f>INDEX('Playoff Stage'!$I$3:$DL$3,1,MATCH(B26,'Playoff Stage'!$I$1:$DL$1,0))</f>
        <v>0</v>
      </c>
      <c r="H26" s="20">
        <f t="shared" si="1"/>
        <v>7.4999999999999997E-2</v>
      </c>
      <c r="J26" s="1"/>
    </row>
    <row r="27" spans="1:10">
      <c r="A27" s="101">
        <f t="shared" si="2"/>
        <v>1</v>
      </c>
      <c r="B27" s="94" t="s">
        <v>42</v>
      </c>
      <c r="C27" s="102">
        <f t="shared" si="0"/>
        <v>0</v>
      </c>
      <c r="D27" s="9">
        <f>INDEX('Group Stage'!$I$3:$DL$3,1,MATCH(B27,'Group Stage'!$I$1:$DL$1,0))</f>
        <v>0</v>
      </c>
      <c r="E27" s="9">
        <f>INDEX('Playoff &amp; Winner'!$D$52:$DG$52,1,MATCH(B27,'Playoff &amp; Winner'!$D$2:$DG$2,0))</f>
        <v>0</v>
      </c>
      <c r="F27" s="9">
        <f>INDEX('Playoff &amp; Winner'!$D$52:$DG$52,1,MATCH(B27,'Playoff &amp; Winner'!$D$2:$DG$2,0)+1)</f>
        <v>0</v>
      </c>
      <c r="G27" s="9">
        <f>INDEX('Playoff Stage'!$I$3:$DL$3,1,MATCH(B27,'Playoff Stage'!$I$1:$DL$1,0))</f>
        <v>0</v>
      </c>
      <c r="H27" s="20">
        <f t="shared" si="1"/>
        <v>7.3999999999999996E-2</v>
      </c>
      <c r="J27" s="1"/>
    </row>
    <row r="28" spans="1:10">
      <c r="A28" s="101">
        <f t="shared" si="2"/>
        <v>1</v>
      </c>
      <c r="B28" s="94" t="s">
        <v>43</v>
      </c>
      <c r="C28" s="102">
        <f t="shared" si="0"/>
        <v>0</v>
      </c>
      <c r="D28" s="9">
        <f>INDEX('Group Stage'!$I$3:$DL$3,1,MATCH(B28,'Group Stage'!$I$1:$DL$1,0))</f>
        <v>0</v>
      </c>
      <c r="E28" s="9">
        <f>INDEX('Playoff &amp; Winner'!$D$52:$DG$52,1,MATCH(B28,'Playoff &amp; Winner'!$D$2:$DG$2,0))</f>
        <v>0</v>
      </c>
      <c r="F28" s="9">
        <f>INDEX('Playoff &amp; Winner'!$D$52:$DG$52,1,MATCH(B28,'Playoff &amp; Winner'!$D$2:$DG$2,0)+1)</f>
        <v>0</v>
      </c>
      <c r="G28" s="9">
        <f>INDEX('Playoff Stage'!$I$3:$DL$3,1,MATCH(B28,'Playoff Stage'!$I$1:$DL$1,0))</f>
        <v>0</v>
      </c>
      <c r="H28" s="20">
        <f t="shared" si="1"/>
        <v>8.8999999999999996E-2</v>
      </c>
      <c r="J28" s="1"/>
    </row>
    <row r="29" spans="1:10">
      <c r="A29" s="101">
        <f>RANK(C29,C$2:C$28)</f>
        <v>1</v>
      </c>
      <c r="B29" s="94" t="s">
        <v>129</v>
      </c>
      <c r="C29" s="102">
        <f>SUM(D29:G29)</f>
        <v>0</v>
      </c>
      <c r="D29" s="9">
        <f>INDEX('Group Stage'!$I$3:$DO$3,1,MATCH(B29,'Group Stage'!$I$1:$DO$1,0))</f>
        <v>0</v>
      </c>
      <c r="E29" s="9">
        <f>INDEX('Playoff &amp; Winner'!$D$52:$DK$52,1,MATCH(B29,'Playoff &amp; Winner'!$D$2:$DK$2,0))</f>
        <v>0</v>
      </c>
      <c r="F29" s="9">
        <f>INDEX('Playoff &amp; Winner'!$D$52:$DK$52,1,MATCH(B29,'Playoff &amp; Winner'!$D$2:$DK$2,0)+1)</f>
        <v>0</v>
      </c>
      <c r="G29" s="9">
        <f>INDEX('Playoff Stage'!$I$3:$DO$3,1,MATCH(B29,'Playoff Stage'!$I$1:$DO$1,0))</f>
        <v>0</v>
      </c>
      <c r="H29" s="20">
        <f>C29*1000000000+D29*1000000+E29*10000+F29*100+G29+(100-COUNTIF($B$2:$B$28,"&lt;"&amp;B29))/1000</f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L29"/>
  <sheetViews>
    <sheetView tabSelected="1" zoomScale="140" zoomScaleNormal="140" zoomScalePageLayoutView="115" workbookViewId="0">
      <selection activeCell="I18" sqref="I18"/>
    </sheetView>
  </sheetViews>
  <sheetFormatPr baseColWidth="10" defaultColWidth="8.6640625" defaultRowHeight="13"/>
  <cols>
    <col min="1" max="1" width="7.1640625" customWidth="1"/>
    <col min="2" max="2" width="21.5" customWidth="1"/>
    <col min="3" max="3" width="7.5" style="112" bestFit="1" customWidth="1"/>
    <col min="4" max="4" width="13.5" bestFit="1" customWidth="1"/>
    <col min="5" max="5" width="15.1640625" bestFit="1" customWidth="1"/>
    <col min="6" max="6" width="14.83203125" bestFit="1" customWidth="1"/>
    <col min="7" max="7" width="9.5" bestFit="1" customWidth="1"/>
    <col min="10" max="10" width="16.83203125" bestFit="1" customWidth="1"/>
    <col min="11" max="11" width="9" bestFit="1" customWidth="1"/>
    <col min="12" max="12" width="4" bestFit="1" customWidth="1"/>
  </cols>
  <sheetData>
    <row r="1" spans="1:12">
      <c r="A1" s="107" t="s">
        <v>0</v>
      </c>
      <c r="B1" s="107" t="s">
        <v>1</v>
      </c>
      <c r="C1" s="111" t="s">
        <v>2</v>
      </c>
      <c r="D1" s="107" t="s">
        <v>3</v>
      </c>
      <c r="E1" s="107" t="s">
        <v>4</v>
      </c>
      <c r="F1" s="107" t="s">
        <v>6</v>
      </c>
      <c r="G1" s="107" t="s">
        <v>5</v>
      </c>
    </row>
    <row r="2" spans="1:12">
      <c r="A2">
        <v>1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</row>
    <row r="3" spans="1:12"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J3" s="109" t="s">
        <v>44</v>
      </c>
      <c r="K3" s="103">
        <v>280000</v>
      </c>
      <c r="L3" s="104" t="s">
        <v>45</v>
      </c>
    </row>
    <row r="4" spans="1:12"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J4" s="110" t="s">
        <v>11</v>
      </c>
      <c r="K4" s="105">
        <f>K3*L4</f>
        <v>112000</v>
      </c>
      <c r="L4" s="106">
        <v>0.4</v>
      </c>
    </row>
    <row r="5" spans="1:12"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J5" s="110" t="s">
        <v>13</v>
      </c>
      <c r="K5" s="105">
        <f>K3*L5</f>
        <v>56000</v>
      </c>
      <c r="L5" s="106">
        <v>0.2</v>
      </c>
    </row>
    <row r="6" spans="1:12"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J6" s="110" t="s">
        <v>15</v>
      </c>
      <c r="K6" s="105">
        <f>K3*L6</f>
        <v>42000</v>
      </c>
      <c r="L6" s="106">
        <v>0.15</v>
      </c>
    </row>
    <row r="7" spans="1:12"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J7" s="110" t="s">
        <v>17</v>
      </c>
      <c r="K7" s="105">
        <f>K3*L7</f>
        <v>28000</v>
      </c>
      <c r="L7" s="106">
        <v>0.1</v>
      </c>
    </row>
    <row r="8" spans="1:12">
      <c r="B8" t="s">
        <v>31</v>
      </c>
      <c r="C8">
        <v>0</v>
      </c>
      <c r="D8">
        <v>0</v>
      </c>
      <c r="E8">
        <v>0</v>
      </c>
      <c r="F8">
        <v>0</v>
      </c>
      <c r="G8">
        <v>0</v>
      </c>
      <c r="J8" s="110" t="s">
        <v>19</v>
      </c>
      <c r="K8" s="105">
        <f>K3*L8</f>
        <v>19600.000000000004</v>
      </c>
      <c r="L8" s="106">
        <v>7.0000000000000007E-2</v>
      </c>
    </row>
    <row r="9" spans="1:12">
      <c r="B9" t="s">
        <v>129</v>
      </c>
      <c r="C9">
        <v>0</v>
      </c>
      <c r="D9">
        <v>0</v>
      </c>
      <c r="E9">
        <v>0</v>
      </c>
      <c r="F9">
        <v>0</v>
      </c>
      <c r="G9">
        <v>0</v>
      </c>
      <c r="J9" s="110" t="s">
        <v>21</v>
      </c>
      <c r="K9" s="105">
        <f>K3*L9</f>
        <v>14000</v>
      </c>
      <c r="L9" s="106">
        <v>0.05</v>
      </c>
    </row>
    <row r="10" spans="1:12"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J10" s="110" t="s">
        <v>23</v>
      </c>
      <c r="K10" s="105">
        <f>K3*L10</f>
        <v>8400</v>
      </c>
      <c r="L10" s="106">
        <v>0.03</v>
      </c>
    </row>
    <row r="11" spans="1:12"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2">
      <c r="B12" t="s">
        <v>42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2"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2"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2"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2"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2:7"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2:7"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2:7"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2:7">
      <c r="B20" t="s">
        <v>22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2:7"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7"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2:7"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2:7">
      <c r="B24" t="s">
        <v>34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2:7">
      <c r="B25" t="s">
        <v>35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2:7">
      <c r="B26" t="s">
        <v>36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7">
      <c r="B27" t="s">
        <v>37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7"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7">
      <c r="B29" t="s">
        <v>43</v>
      </c>
      <c r="C29">
        <v>0</v>
      </c>
      <c r="D29">
        <v>0</v>
      </c>
      <c r="E29">
        <v>0</v>
      </c>
      <c r="F29">
        <v>0</v>
      </c>
      <c r="G29">
        <v>0</v>
      </c>
    </row>
  </sheetData>
  <conditionalFormatting sqref="A2:A100">
    <cfRule type="cellIs" dxfId="637" priority="3" operator="greaterThan">
      <formula>0</formula>
    </cfRule>
  </conditionalFormatting>
  <conditionalFormatting sqref="B2:B100 C37">
    <cfRule type="notContainsBlanks" dxfId="636" priority="2">
      <formula>LEN(TRIM(B2))&gt;0</formula>
    </cfRule>
  </conditionalFormatting>
  <conditionalFormatting sqref="C2:C36 C38:C100">
    <cfRule type="cellIs" dxfId="635" priority="1" operator="notEqual">
      <formula>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8"/>
  <sheetViews>
    <sheetView topLeftCell="A41" zoomScale="133" workbookViewId="0">
      <selection activeCell="B41" sqref="B41:B88"/>
    </sheetView>
  </sheetViews>
  <sheetFormatPr baseColWidth="10" defaultRowHeight="13"/>
  <sheetData>
    <row r="1" spans="1:2">
      <c r="B1" s="132" t="s">
        <v>46</v>
      </c>
    </row>
    <row r="2" spans="1:2">
      <c r="A2">
        <v>1</v>
      </c>
      <c r="B2" s="132" t="s">
        <v>10</v>
      </c>
    </row>
    <row r="3" spans="1:2">
      <c r="A3">
        <v>2</v>
      </c>
      <c r="B3" s="132" t="s">
        <v>12</v>
      </c>
    </row>
    <row r="4" spans="1:2">
      <c r="A4">
        <v>3</v>
      </c>
      <c r="B4" s="132" t="s">
        <v>14</v>
      </c>
    </row>
    <row r="5" spans="1:2">
      <c r="A5">
        <v>4</v>
      </c>
      <c r="B5" s="132" t="s">
        <v>16</v>
      </c>
    </row>
    <row r="6" spans="1:2">
      <c r="A6">
        <v>5</v>
      </c>
      <c r="B6" s="132" t="s">
        <v>18</v>
      </c>
    </row>
    <row r="7" spans="1:2">
      <c r="A7">
        <v>6</v>
      </c>
      <c r="B7" s="132" t="s">
        <v>20</v>
      </c>
    </row>
    <row r="8" spans="1:2">
      <c r="A8">
        <v>7</v>
      </c>
      <c r="B8" s="132" t="s">
        <v>22</v>
      </c>
    </row>
    <row r="9" spans="1:2">
      <c r="A9">
        <v>8</v>
      </c>
      <c r="B9" s="132" t="s">
        <v>24</v>
      </c>
    </row>
    <row r="10" spans="1:2">
      <c r="A10">
        <v>9</v>
      </c>
      <c r="B10" s="132" t="s">
        <v>25</v>
      </c>
    </row>
    <row r="11" spans="1:2">
      <c r="A11">
        <v>10</v>
      </c>
      <c r="B11" s="132" t="s">
        <v>26</v>
      </c>
    </row>
    <row r="12" spans="1:2">
      <c r="A12">
        <v>11</v>
      </c>
      <c r="B12" s="132" t="s">
        <v>27</v>
      </c>
    </row>
    <row r="13" spans="1:2">
      <c r="A13">
        <v>12</v>
      </c>
      <c r="B13" s="132" t="s">
        <v>28</v>
      </c>
    </row>
    <row r="14" spans="1:2">
      <c r="A14">
        <v>13</v>
      </c>
      <c r="B14" s="132" t="s">
        <v>29</v>
      </c>
    </row>
    <row r="15" spans="1:2">
      <c r="A15">
        <v>14</v>
      </c>
      <c r="B15" s="132" t="s">
        <v>30</v>
      </c>
    </row>
    <row r="16" spans="1:2">
      <c r="A16">
        <v>15</v>
      </c>
      <c r="B16" s="132" t="s">
        <v>31</v>
      </c>
    </row>
    <row r="17" spans="1:2">
      <c r="A17">
        <v>16</v>
      </c>
      <c r="B17" s="132" t="s">
        <v>32</v>
      </c>
    </row>
    <row r="18" spans="1:2">
      <c r="A18">
        <v>17</v>
      </c>
      <c r="B18" s="132" t="s">
        <v>33</v>
      </c>
    </row>
    <row r="19" spans="1:2">
      <c r="A19">
        <v>18</v>
      </c>
      <c r="B19" s="132" t="s">
        <v>34</v>
      </c>
    </row>
    <row r="20" spans="1:2">
      <c r="A20">
        <v>19</v>
      </c>
      <c r="B20" s="132" t="s">
        <v>35</v>
      </c>
    </row>
    <row r="21" spans="1:2">
      <c r="A21">
        <v>20</v>
      </c>
      <c r="B21" s="132" t="s">
        <v>36</v>
      </c>
    </row>
    <row r="22" spans="1:2">
      <c r="A22">
        <v>21</v>
      </c>
      <c r="B22" s="132" t="s">
        <v>37</v>
      </c>
    </row>
    <row r="23" spans="1:2">
      <c r="A23">
        <v>22</v>
      </c>
      <c r="B23" s="132" t="s">
        <v>38</v>
      </c>
    </row>
    <row r="24" spans="1:2">
      <c r="A24">
        <v>23</v>
      </c>
      <c r="B24" s="132" t="s">
        <v>39</v>
      </c>
    </row>
    <row r="25" spans="1:2">
      <c r="A25">
        <v>24</v>
      </c>
      <c r="B25" s="132" t="s">
        <v>40</v>
      </c>
    </row>
    <row r="26" spans="1:2">
      <c r="A26">
        <v>25</v>
      </c>
      <c r="B26" s="132" t="s">
        <v>41</v>
      </c>
    </row>
    <row r="27" spans="1:2">
      <c r="A27">
        <v>26</v>
      </c>
      <c r="B27" s="132" t="s">
        <v>42</v>
      </c>
    </row>
    <row r="28" spans="1:2">
      <c r="A28">
        <v>27</v>
      </c>
      <c r="B28" s="132" t="s">
        <v>43</v>
      </c>
    </row>
    <row r="36" spans="2:28">
      <c r="B36" s="132"/>
      <c r="C36" s="132" t="s">
        <v>10</v>
      </c>
      <c r="D36" s="132" t="s">
        <v>12</v>
      </c>
      <c r="E36" s="132" t="s">
        <v>14</v>
      </c>
      <c r="F36" s="132" t="s">
        <v>16</v>
      </c>
      <c r="G36" s="132" t="s">
        <v>18</v>
      </c>
      <c r="H36" s="132" t="s">
        <v>20</v>
      </c>
      <c r="I36" s="132" t="s">
        <v>22</v>
      </c>
      <c r="J36" s="132" t="s">
        <v>24</v>
      </c>
      <c r="K36" s="132" t="s">
        <v>25</v>
      </c>
      <c r="L36" s="132" t="s">
        <v>26</v>
      </c>
      <c r="M36" s="132" t="s">
        <v>27</v>
      </c>
      <c r="N36" s="132" t="s">
        <v>28</v>
      </c>
      <c r="O36" s="132" t="s">
        <v>29</v>
      </c>
      <c r="P36" s="132" t="s">
        <v>30</v>
      </c>
      <c r="Q36" s="132" t="s">
        <v>31</v>
      </c>
      <c r="R36" s="132" t="s">
        <v>32</v>
      </c>
      <c r="S36" s="132" t="s">
        <v>33</v>
      </c>
      <c r="T36" s="132" t="s">
        <v>34</v>
      </c>
      <c r="U36" s="132" t="s">
        <v>35</v>
      </c>
      <c r="V36" s="132" t="s">
        <v>36</v>
      </c>
      <c r="W36" s="132" t="s">
        <v>37</v>
      </c>
      <c r="X36" s="132" t="s">
        <v>38</v>
      </c>
      <c r="Y36" s="132" t="s">
        <v>39</v>
      </c>
      <c r="Z36" s="132" t="s">
        <v>40</v>
      </c>
      <c r="AA36" s="132" t="s">
        <v>41</v>
      </c>
      <c r="AB36" s="132" t="s">
        <v>42</v>
      </c>
    </row>
    <row r="37" spans="2:28">
      <c r="B37" s="132"/>
    </row>
    <row r="38" spans="2:28">
      <c r="B38" s="132"/>
    </row>
    <row r="39" spans="2:28">
      <c r="B39" s="132"/>
    </row>
    <row r="40" spans="2:28">
      <c r="B40" s="132"/>
    </row>
    <row r="41" spans="2:28">
      <c r="B41" s="132" t="s">
        <v>47</v>
      </c>
    </row>
    <row r="42" spans="2:28">
      <c r="B42" s="132" t="s">
        <v>48</v>
      </c>
    </row>
    <row r="43" spans="2:28">
      <c r="B43" s="132" t="s">
        <v>49</v>
      </c>
    </row>
    <row r="44" spans="2:28">
      <c r="B44" s="132" t="s">
        <v>50</v>
      </c>
    </row>
    <row r="45" spans="2:28">
      <c r="B45" s="132" t="s">
        <v>51</v>
      </c>
    </row>
    <row r="46" spans="2:28">
      <c r="B46" s="132" t="s">
        <v>52</v>
      </c>
    </row>
    <row r="47" spans="2:28">
      <c r="B47" s="132" t="s">
        <v>53</v>
      </c>
    </row>
    <row r="48" spans="2:28">
      <c r="B48" s="132" t="s">
        <v>54</v>
      </c>
    </row>
    <row r="49" spans="2:2">
      <c r="B49" s="132" t="s">
        <v>55</v>
      </c>
    </row>
    <row r="50" spans="2:2">
      <c r="B50" s="132" t="s">
        <v>56</v>
      </c>
    </row>
    <row r="51" spans="2:2">
      <c r="B51" s="132" t="s">
        <v>57</v>
      </c>
    </row>
    <row r="52" spans="2:2">
      <c r="B52" s="132" t="s">
        <v>58</v>
      </c>
    </row>
    <row r="53" spans="2:2">
      <c r="B53" s="132" t="s">
        <v>59</v>
      </c>
    </row>
    <row r="54" spans="2:2">
      <c r="B54" s="132" t="s">
        <v>60</v>
      </c>
    </row>
    <row r="55" spans="2:2">
      <c r="B55" s="132" t="s">
        <v>61</v>
      </c>
    </row>
    <row r="56" spans="2:2">
      <c r="B56" s="132" t="s">
        <v>62</v>
      </c>
    </row>
    <row r="57" spans="2:2">
      <c r="B57" s="132" t="s">
        <v>63</v>
      </c>
    </row>
    <row r="58" spans="2:2">
      <c r="B58" s="132" t="s">
        <v>64</v>
      </c>
    </row>
    <row r="59" spans="2:2">
      <c r="B59" s="132" t="s">
        <v>65</v>
      </c>
    </row>
    <row r="60" spans="2:2">
      <c r="B60" s="132" t="s">
        <v>66</v>
      </c>
    </row>
    <row r="61" spans="2:2">
      <c r="B61" s="132" t="s">
        <v>67</v>
      </c>
    </row>
    <row r="62" spans="2:2">
      <c r="B62" s="132" t="s">
        <v>68</v>
      </c>
    </row>
    <row r="63" spans="2:2">
      <c r="B63" s="132" t="s">
        <v>69</v>
      </c>
    </row>
    <row r="64" spans="2:2">
      <c r="B64" s="132" t="s">
        <v>70</v>
      </c>
    </row>
    <row r="65" spans="2:2">
      <c r="B65" s="132" t="s">
        <v>71</v>
      </c>
    </row>
    <row r="66" spans="2:2">
      <c r="B66" s="132" t="s">
        <v>72</v>
      </c>
    </row>
    <row r="67" spans="2:2">
      <c r="B67" s="132" t="s">
        <v>73</v>
      </c>
    </row>
    <row r="68" spans="2:2">
      <c r="B68" s="132" t="s">
        <v>74</v>
      </c>
    </row>
    <row r="69" spans="2:2">
      <c r="B69" s="132" t="s">
        <v>75</v>
      </c>
    </row>
    <row r="70" spans="2:2">
      <c r="B70" s="132" t="s">
        <v>76</v>
      </c>
    </row>
    <row r="71" spans="2:2">
      <c r="B71" s="132" t="s">
        <v>77</v>
      </c>
    </row>
    <row r="72" spans="2:2">
      <c r="B72" s="132" t="s">
        <v>78</v>
      </c>
    </row>
    <row r="73" spans="2:2">
      <c r="B73" s="132" t="s">
        <v>79</v>
      </c>
    </row>
    <row r="74" spans="2:2">
      <c r="B74" s="132" t="s">
        <v>80</v>
      </c>
    </row>
    <row r="75" spans="2:2">
      <c r="B75" s="132" t="s">
        <v>81</v>
      </c>
    </row>
    <row r="76" spans="2:2">
      <c r="B76" s="132" t="s">
        <v>82</v>
      </c>
    </row>
    <row r="77" spans="2:2">
      <c r="B77" s="132" t="s">
        <v>83</v>
      </c>
    </row>
    <row r="78" spans="2:2">
      <c r="B78" s="132" t="s">
        <v>84</v>
      </c>
    </row>
    <row r="79" spans="2:2">
      <c r="B79" s="132" t="s">
        <v>85</v>
      </c>
    </row>
    <row r="80" spans="2:2">
      <c r="B80" s="132" t="s">
        <v>86</v>
      </c>
    </row>
    <row r="81" spans="2:2">
      <c r="B81" s="132" t="s">
        <v>87</v>
      </c>
    </row>
    <row r="82" spans="2:2">
      <c r="B82" s="132" t="s">
        <v>88</v>
      </c>
    </row>
    <row r="83" spans="2:2">
      <c r="B83" s="132" t="s">
        <v>89</v>
      </c>
    </row>
    <row r="84" spans="2:2">
      <c r="B84" s="132" t="s">
        <v>90</v>
      </c>
    </row>
    <row r="85" spans="2:2">
      <c r="B85" s="132" t="s">
        <v>91</v>
      </c>
    </row>
    <row r="86" spans="2:2">
      <c r="B86" s="132" t="s">
        <v>92</v>
      </c>
    </row>
    <row r="87" spans="2:2">
      <c r="B87" s="132" t="s">
        <v>93</v>
      </c>
    </row>
    <row r="88" spans="2:2">
      <c r="B88" s="13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P75"/>
  <sheetViews>
    <sheetView zoomScale="94" workbookViewId="0">
      <pane xSplit="8" ySplit="2" topLeftCell="I3" activePane="bottomRight" state="frozen"/>
      <selection pane="topRight" activeCell="G1" sqref="G1"/>
      <selection pane="bottomLeft" activeCell="A3" sqref="A3"/>
      <selection pane="bottomRight" activeCell="G6" sqref="G6"/>
    </sheetView>
  </sheetViews>
  <sheetFormatPr baseColWidth="10" defaultColWidth="11" defaultRowHeight="13" outlineLevelCol="2"/>
  <cols>
    <col min="1" max="1" width="10.1640625" style="83" bestFit="1" customWidth="1"/>
    <col min="2" max="2" width="5.6640625" style="83" bestFit="1" customWidth="1"/>
    <col min="3" max="4" width="19" style="1" bestFit="1" customWidth="1"/>
    <col min="5" max="5" width="5.83203125" style="1" bestFit="1" customWidth="1"/>
    <col min="6" max="7" width="5.5" style="1" customWidth="1"/>
    <col min="8" max="8" width="6.6640625" style="1" customWidth="1"/>
    <col min="9" max="32" width="3.5" style="1" customWidth="1"/>
    <col min="33" max="33" width="4" style="1" customWidth="1"/>
    <col min="34" max="34" width="3.83203125" style="1" customWidth="1"/>
    <col min="35" max="35" width="3.1640625" style="1" customWidth="1"/>
    <col min="36" max="36" width="4.5" style="1" customWidth="1"/>
    <col min="37" max="100" width="3.5" style="1" customWidth="1"/>
    <col min="101" max="101" width="3.5" style="1" customWidth="1" outlineLevel="2"/>
    <col min="102" max="104" width="3.5" style="1" customWidth="1"/>
    <col min="105" max="105" width="3.5" style="1" customWidth="1" outlineLevel="2"/>
    <col min="106" max="108" width="3.5" style="1" customWidth="1"/>
    <col min="109" max="109" width="3.5" style="1" customWidth="1" outlineLevel="2"/>
    <col min="110" max="112" width="3.5" style="1" customWidth="1"/>
    <col min="113" max="113" width="3.5" style="1" customWidth="1" outlineLevel="2"/>
    <col min="114" max="116" width="3.5" style="1" customWidth="1"/>
    <col min="117" max="117" width="3.5" style="1" customWidth="1" outlineLevel="2"/>
    <col min="118" max="120" width="3.5" style="1" customWidth="1"/>
    <col min="121" max="121" width="11" style="1" customWidth="1"/>
    <col min="122" max="16384" width="11" style="1"/>
  </cols>
  <sheetData>
    <row r="1" spans="1:120" s="16" customFormat="1" ht="17" customHeight="1" thickBot="1">
      <c r="A1" s="149" t="s">
        <v>95</v>
      </c>
      <c r="B1" s="128"/>
      <c r="C1" s="151" t="s">
        <v>96</v>
      </c>
      <c r="D1" s="145"/>
      <c r="E1" s="135" t="s">
        <v>97</v>
      </c>
      <c r="F1" s="144" t="s">
        <v>98</v>
      </c>
      <c r="G1" s="145"/>
      <c r="H1" s="148" t="s">
        <v>99</v>
      </c>
      <c r="I1" s="140" t="s">
        <v>10</v>
      </c>
      <c r="J1" s="138"/>
      <c r="K1" s="138"/>
      <c r="L1" s="139"/>
      <c r="M1" s="140" t="s">
        <v>12</v>
      </c>
      <c r="N1" s="138"/>
      <c r="O1" s="138"/>
      <c r="P1" s="139"/>
      <c r="Q1" s="140" t="s">
        <v>14</v>
      </c>
      <c r="R1" s="138"/>
      <c r="S1" s="138"/>
      <c r="T1" s="139"/>
      <c r="U1" s="140" t="s">
        <v>16</v>
      </c>
      <c r="V1" s="138"/>
      <c r="W1" s="138"/>
      <c r="X1" s="139"/>
      <c r="Y1" s="140" t="s">
        <v>18</v>
      </c>
      <c r="Z1" s="138"/>
      <c r="AA1" s="138"/>
      <c r="AB1" s="139"/>
      <c r="AC1" s="140" t="s">
        <v>20</v>
      </c>
      <c r="AD1" s="138"/>
      <c r="AE1" s="138"/>
      <c r="AF1" s="139"/>
      <c r="AG1" s="140" t="s">
        <v>22</v>
      </c>
      <c r="AH1" s="138"/>
      <c r="AI1" s="138"/>
      <c r="AJ1" s="139"/>
      <c r="AK1" s="140" t="s">
        <v>24</v>
      </c>
      <c r="AL1" s="138"/>
      <c r="AM1" s="138"/>
      <c r="AN1" s="139"/>
      <c r="AO1" s="140" t="s">
        <v>25</v>
      </c>
      <c r="AP1" s="138"/>
      <c r="AQ1" s="138"/>
      <c r="AR1" s="139"/>
      <c r="AS1" s="140" t="s">
        <v>26</v>
      </c>
      <c r="AT1" s="138"/>
      <c r="AU1" s="138"/>
      <c r="AV1" s="139"/>
      <c r="AW1" s="140" t="s">
        <v>27</v>
      </c>
      <c r="AX1" s="138"/>
      <c r="AY1" s="138"/>
      <c r="AZ1" s="139"/>
      <c r="BA1" s="140" t="s">
        <v>28</v>
      </c>
      <c r="BB1" s="138"/>
      <c r="BC1" s="138"/>
      <c r="BD1" s="139"/>
      <c r="BE1" s="140" t="s">
        <v>29</v>
      </c>
      <c r="BF1" s="138"/>
      <c r="BG1" s="138"/>
      <c r="BH1" s="139"/>
      <c r="BI1" s="140" t="s">
        <v>30</v>
      </c>
      <c r="BJ1" s="138"/>
      <c r="BK1" s="138"/>
      <c r="BL1" s="139"/>
      <c r="BM1" s="140" t="s">
        <v>31</v>
      </c>
      <c r="BN1" s="138"/>
      <c r="BO1" s="138"/>
      <c r="BP1" s="139"/>
      <c r="BQ1" s="140" t="s">
        <v>32</v>
      </c>
      <c r="BR1" s="138"/>
      <c r="BS1" s="138"/>
      <c r="BT1" s="139"/>
      <c r="BU1" s="140" t="s">
        <v>33</v>
      </c>
      <c r="BV1" s="138"/>
      <c r="BW1" s="138"/>
      <c r="BX1" s="139"/>
      <c r="BY1" s="140" t="s">
        <v>34</v>
      </c>
      <c r="BZ1" s="138"/>
      <c r="CA1" s="138"/>
      <c r="CB1" s="139"/>
      <c r="CC1" s="140" t="s">
        <v>35</v>
      </c>
      <c r="CD1" s="138"/>
      <c r="CE1" s="138"/>
      <c r="CF1" s="139"/>
      <c r="CG1" s="140" t="s">
        <v>36</v>
      </c>
      <c r="CH1" s="138"/>
      <c r="CI1" s="138"/>
      <c r="CJ1" s="139"/>
      <c r="CK1" s="140" t="s">
        <v>37</v>
      </c>
      <c r="CL1" s="138"/>
      <c r="CM1" s="138"/>
      <c r="CN1" s="139"/>
      <c r="CO1" s="140" t="s">
        <v>38</v>
      </c>
      <c r="CP1" s="138"/>
      <c r="CQ1" s="138"/>
      <c r="CR1" s="139"/>
      <c r="CS1" s="140" t="s">
        <v>39</v>
      </c>
      <c r="CT1" s="138"/>
      <c r="CU1" s="138"/>
      <c r="CV1" s="139"/>
      <c r="CW1" s="140" t="s">
        <v>40</v>
      </c>
      <c r="CX1" s="138"/>
      <c r="CY1" s="138"/>
      <c r="CZ1" s="139"/>
      <c r="DA1" s="140" t="s">
        <v>41</v>
      </c>
      <c r="DB1" s="138"/>
      <c r="DC1" s="138"/>
      <c r="DD1" s="139"/>
      <c r="DE1" s="140" t="s">
        <v>42</v>
      </c>
      <c r="DF1" s="138"/>
      <c r="DG1" s="138"/>
      <c r="DH1" s="139"/>
      <c r="DI1" s="140" t="s">
        <v>43</v>
      </c>
      <c r="DJ1" s="138"/>
      <c r="DK1" s="138"/>
      <c r="DL1" s="139"/>
      <c r="DM1" s="140" t="s">
        <v>129</v>
      </c>
      <c r="DN1" s="138"/>
      <c r="DO1" s="138"/>
      <c r="DP1" s="139"/>
    </row>
    <row r="2" spans="1:120" ht="35.25" customHeight="1" thickBot="1">
      <c r="A2" s="150"/>
      <c r="B2" s="129"/>
      <c r="C2" s="152"/>
      <c r="D2" s="147"/>
      <c r="E2" s="136"/>
      <c r="F2" s="146"/>
      <c r="G2" s="147"/>
      <c r="H2" s="136"/>
      <c r="I2" s="142" t="s">
        <v>100</v>
      </c>
      <c r="J2" s="143"/>
      <c r="K2" s="67"/>
      <c r="L2" s="71" t="s">
        <v>101</v>
      </c>
      <c r="M2" s="142" t="s">
        <v>100</v>
      </c>
      <c r="N2" s="143"/>
      <c r="O2" s="67"/>
      <c r="P2" s="71" t="s">
        <v>101</v>
      </c>
      <c r="Q2" s="142" t="s">
        <v>100</v>
      </c>
      <c r="R2" s="143"/>
      <c r="S2" s="67"/>
      <c r="T2" s="71" t="s">
        <v>101</v>
      </c>
      <c r="U2" s="142" t="s">
        <v>100</v>
      </c>
      <c r="V2" s="143"/>
      <c r="W2" s="67"/>
      <c r="X2" s="71" t="s">
        <v>101</v>
      </c>
      <c r="Y2" s="142" t="s">
        <v>100</v>
      </c>
      <c r="Z2" s="143"/>
      <c r="AA2" s="67"/>
      <c r="AB2" s="71" t="s">
        <v>101</v>
      </c>
      <c r="AC2" s="142" t="s">
        <v>100</v>
      </c>
      <c r="AD2" s="143"/>
      <c r="AE2" s="67"/>
      <c r="AF2" s="71" t="s">
        <v>101</v>
      </c>
      <c r="AG2" s="142" t="s">
        <v>100</v>
      </c>
      <c r="AH2" s="143"/>
      <c r="AI2" s="67"/>
      <c r="AJ2" s="71" t="s">
        <v>101</v>
      </c>
      <c r="AK2" s="142" t="s">
        <v>100</v>
      </c>
      <c r="AL2" s="143"/>
      <c r="AM2" s="67"/>
      <c r="AN2" s="71" t="s">
        <v>101</v>
      </c>
      <c r="AO2" s="142" t="s">
        <v>100</v>
      </c>
      <c r="AP2" s="143"/>
      <c r="AQ2" s="67"/>
      <c r="AR2" s="71" t="s">
        <v>101</v>
      </c>
      <c r="AS2" s="142" t="s">
        <v>100</v>
      </c>
      <c r="AT2" s="143"/>
      <c r="AU2" s="67"/>
      <c r="AV2" s="71" t="s">
        <v>101</v>
      </c>
      <c r="AW2" s="142" t="s">
        <v>100</v>
      </c>
      <c r="AX2" s="143"/>
      <c r="AY2" s="67"/>
      <c r="AZ2" s="71" t="s">
        <v>101</v>
      </c>
      <c r="BA2" s="142" t="s">
        <v>100</v>
      </c>
      <c r="BB2" s="143"/>
      <c r="BC2" s="67"/>
      <c r="BD2" s="71" t="s">
        <v>101</v>
      </c>
      <c r="BE2" s="142" t="s">
        <v>100</v>
      </c>
      <c r="BF2" s="143"/>
      <c r="BG2" s="67"/>
      <c r="BH2" s="71" t="s">
        <v>101</v>
      </c>
      <c r="BI2" s="142" t="s">
        <v>100</v>
      </c>
      <c r="BJ2" s="143"/>
      <c r="BK2" s="67"/>
      <c r="BL2" s="71" t="s">
        <v>101</v>
      </c>
      <c r="BM2" s="142" t="s">
        <v>100</v>
      </c>
      <c r="BN2" s="143"/>
      <c r="BO2" s="67"/>
      <c r="BP2" s="71" t="s">
        <v>101</v>
      </c>
      <c r="BQ2" s="142" t="s">
        <v>100</v>
      </c>
      <c r="BR2" s="143"/>
      <c r="BS2" s="67"/>
      <c r="BT2" s="71" t="s">
        <v>101</v>
      </c>
      <c r="BU2" s="142" t="s">
        <v>100</v>
      </c>
      <c r="BV2" s="143"/>
      <c r="BW2" s="67"/>
      <c r="BX2" s="71" t="s">
        <v>101</v>
      </c>
      <c r="BY2" s="142" t="s">
        <v>100</v>
      </c>
      <c r="BZ2" s="143"/>
      <c r="CA2" s="67"/>
      <c r="CB2" s="71" t="s">
        <v>101</v>
      </c>
      <c r="CC2" s="142" t="s">
        <v>100</v>
      </c>
      <c r="CD2" s="143"/>
      <c r="CE2" s="67"/>
      <c r="CF2" s="71" t="s">
        <v>101</v>
      </c>
      <c r="CG2" s="142" t="s">
        <v>100</v>
      </c>
      <c r="CH2" s="143"/>
      <c r="CI2" s="67"/>
      <c r="CJ2" s="71" t="s">
        <v>101</v>
      </c>
      <c r="CK2" s="142" t="s">
        <v>100</v>
      </c>
      <c r="CL2" s="143"/>
      <c r="CM2" s="67"/>
      <c r="CN2" s="71" t="s">
        <v>101</v>
      </c>
      <c r="CO2" s="142" t="s">
        <v>100</v>
      </c>
      <c r="CP2" s="143"/>
      <c r="CQ2" s="67"/>
      <c r="CR2" s="71" t="s">
        <v>101</v>
      </c>
      <c r="CS2" s="142" t="s">
        <v>100</v>
      </c>
      <c r="CT2" s="143"/>
      <c r="CU2" s="67"/>
      <c r="CV2" s="71" t="s">
        <v>101</v>
      </c>
      <c r="CW2" s="142" t="s">
        <v>100</v>
      </c>
      <c r="CX2" s="143"/>
      <c r="CY2" s="67"/>
      <c r="CZ2" s="71" t="s">
        <v>101</v>
      </c>
      <c r="DA2" s="142" t="s">
        <v>100</v>
      </c>
      <c r="DB2" s="143"/>
      <c r="DC2" s="67"/>
      <c r="DD2" s="71" t="s">
        <v>101</v>
      </c>
      <c r="DE2" s="142" t="s">
        <v>100</v>
      </c>
      <c r="DF2" s="143"/>
      <c r="DG2" s="67"/>
      <c r="DH2" s="71" t="s">
        <v>101</v>
      </c>
      <c r="DI2" s="142" t="s">
        <v>100</v>
      </c>
      <c r="DJ2" s="143"/>
      <c r="DK2" s="67"/>
      <c r="DL2" s="71" t="s">
        <v>101</v>
      </c>
      <c r="DM2" s="142" t="s">
        <v>100</v>
      </c>
      <c r="DN2" s="143"/>
      <c r="DO2" s="67"/>
      <c r="DP2" s="71" t="s">
        <v>101</v>
      </c>
    </row>
    <row r="3" spans="1:120" s="79" customFormat="1" ht="17" customHeight="1" thickBot="1">
      <c r="A3" s="141" t="s">
        <v>102</v>
      </c>
      <c r="B3" s="138"/>
      <c r="C3" s="138"/>
      <c r="D3" s="138"/>
      <c r="E3" s="138"/>
      <c r="F3" s="138"/>
      <c r="G3" s="138"/>
      <c r="H3" s="139"/>
      <c r="I3" s="137">
        <f>SUM(L4:L75)</f>
        <v>0</v>
      </c>
      <c r="J3" s="138"/>
      <c r="K3" s="138"/>
      <c r="L3" s="139"/>
      <c r="M3" s="137">
        <f>SUM(P4:P75)</f>
        <v>0</v>
      </c>
      <c r="N3" s="138"/>
      <c r="O3" s="138"/>
      <c r="P3" s="139"/>
      <c r="Q3" s="137">
        <f>SUM(T4:T75)</f>
        <v>0</v>
      </c>
      <c r="R3" s="138"/>
      <c r="S3" s="138"/>
      <c r="T3" s="139"/>
      <c r="U3" s="137">
        <f>SUM(X4:X75)</f>
        <v>0</v>
      </c>
      <c r="V3" s="138"/>
      <c r="W3" s="138"/>
      <c r="X3" s="139"/>
      <c r="Y3" s="137">
        <f>SUM(AB4:AB75)</f>
        <v>0</v>
      </c>
      <c r="Z3" s="138"/>
      <c r="AA3" s="138"/>
      <c r="AB3" s="139"/>
      <c r="AC3" s="137">
        <f>SUM(AF4:AF75)</f>
        <v>0</v>
      </c>
      <c r="AD3" s="138"/>
      <c r="AE3" s="138"/>
      <c r="AF3" s="139"/>
      <c r="AG3" s="137">
        <f>SUM(AJ4:AJ75)</f>
        <v>0</v>
      </c>
      <c r="AH3" s="138"/>
      <c r="AI3" s="138"/>
      <c r="AJ3" s="139"/>
      <c r="AK3" s="137">
        <f>SUM(AN4:AN75)</f>
        <v>0</v>
      </c>
      <c r="AL3" s="138"/>
      <c r="AM3" s="138"/>
      <c r="AN3" s="139"/>
      <c r="AO3" s="137">
        <f>SUM(AR4:AR75)</f>
        <v>0</v>
      </c>
      <c r="AP3" s="138"/>
      <c r="AQ3" s="138"/>
      <c r="AR3" s="139"/>
      <c r="AS3" s="137">
        <f>SUM(AV4:AV75)</f>
        <v>0</v>
      </c>
      <c r="AT3" s="138"/>
      <c r="AU3" s="138"/>
      <c r="AV3" s="139"/>
      <c r="AW3" s="137">
        <f>SUM(AZ4:AZ75)</f>
        <v>0</v>
      </c>
      <c r="AX3" s="138"/>
      <c r="AY3" s="138"/>
      <c r="AZ3" s="139"/>
      <c r="BA3" s="137">
        <f>SUM(BD4:BD75)</f>
        <v>0</v>
      </c>
      <c r="BB3" s="138"/>
      <c r="BC3" s="138"/>
      <c r="BD3" s="139"/>
      <c r="BE3" s="137">
        <f>SUM(BH4:BH75)</f>
        <v>0</v>
      </c>
      <c r="BF3" s="138"/>
      <c r="BG3" s="138"/>
      <c r="BH3" s="139"/>
      <c r="BI3" s="137">
        <f>SUM(BL4:BL75)</f>
        <v>0</v>
      </c>
      <c r="BJ3" s="138"/>
      <c r="BK3" s="138"/>
      <c r="BL3" s="139"/>
      <c r="BM3" s="137">
        <f>SUM(BP4:BP75)</f>
        <v>0</v>
      </c>
      <c r="BN3" s="138"/>
      <c r="BO3" s="138"/>
      <c r="BP3" s="139"/>
      <c r="BQ3" s="137">
        <f>SUM(BT4:BT75)</f>
        <v>0</v>
      </c>
      <c r="BR3" s="138"/>
      <c r="BS3" s="138"/>
      <c r="BT3" s="139"/>
      <c r="BU3" s="137">
        <f>SUM(BX4:BX75)</f>
        <v>0</v>
      </c>
      <c r="BV3" s="138"/>
      <c r="BW3" s="138"/>
      <c r="BX3" s="139"/>
      <c r="BY3" s="137">
        <f>SUM(CB4:CB75)</f>
        <v>0</v>
      </c>
      <c r="BZ3" s="138"/>
      <c r="CA3" s="138"/>
      <c r="CB3" s="139"/>
      <c r="CC3" s="137">
        <f>SUM(CF4:CF75)</f>
        <v>0</v>
      </c>
      <c r="CD3" s="138"/>
      <c r="CE3" s="138"/>
      <c r="CF3" s="139"/>
      <c r="CG3" s="137">
        <f>SUM(CJ4:CJ75)</f>
        <v>0</v>
      </c>
      <c r="CH3" s="138"/>
      <c r="CI3" s="138"/>
      <c r="CJ3" s="139"/>
      <c r="CK3" s="137">
        <f>SUM(CN4:CN75)</f>
        <v>0</v>
      </c>
      <c r="CL3" s="138"/>
      <c r="CM3" s="138"/>
      <c r="CN3" s="139"/>
      <c r="CO3" s="137">
        <f>SUM(CR4:CR75)</f>
        <v>0</v>
      </c>
      <c r="CP3" s="138"/>
      <c r="CQ3" s="138"/>
      <c r="CR3" s="139"/>
      <c r="CS3" s="137">
        <f>SUM(CV4:CV75)</f>
        <v>0</v>
      </c>
      <c r="CT3" s="138"/>
      <c r="CU3" s="138"/>
      <c r="CV3" s="139"/>
      <c r="CW3" s="137">
        <f>SUM(CZ4:CZ75)</f>
        <v>0</v>
      </c>
      <c r="CX3" s="138"/>
      <c r="CY3" s="138"/>
      <c r="CZ3" s="139"/>
      <c r="DA3" s="137">
        <f>SUM(DD4:DD75)</f>
        <v>0</v>
      </c>
      <c r="DB3" s="138"/>
      <c r="DC3" s="138"/>
      <c r="DD3" s="139"/>
      <c r="DE3" s="137">
        <f>SUM(DH4:DH75)</f>
        <v>0</v>
      </c>
      <c r="DF3" s="138"/>
      <c r="DG3" s="138"/>
      <c r="DH3" s="139"/>
      <c r="DI3" s="137">
        <f>SUM(DL4:DL75)</f>
        <v>0</v>
      </c>
      <c r="DJ3" s="138"/>
      <c r="DK3" s="138"/>
      <c r="DL3" s="139"/>
      <c r="DM3" s="137">
        <f>SUM(DP4:DP75)</f>
        <v>0</v>
      </c>
      <c r="DN3" s="138"/>
      <c r="DO3" s="138"/>
      <c r="DP3" s="139"/>
    </row>
    <row r="4" spans="1:120" ht="15" customHeight="1">
      <c r="A4" s="130">
        <v>44722</v>
      </c>
      <c r="B4" s="131" t="s">
        <v>103</v>
      </c>
      <c r="C4" s="85" t="s">
        <v>47</v>
      </c>
      <c r="D4" s="85" t="s">
        <v>48</v>
      </c>
      <c r="E4" s="84">
        <f t="shared" ref="E4:E35" si="0">L4+P4+T4+X4+AB4+AF4+AJ4+AN4+AR4+AV4+AZ4+BD4+BH4+BL4+BP4+BT4+BX4+CB4+CF4+CJ4+CN4+CR4+CV4+CZ4+DD4+DH4+DL4</f>
        <v>0</v>
      </c>
      <c r="F4" s="21"/>
      <c r="G4" s="2"/>
      <c r="H4" s="75" t="b">
        <f t="shared" ref="H4:H35" si="1">IF(ISNUMBER(F4),IF(F4&gt;G4,"1",IF(F4&lt;G4,"2","X")))</f>
        <v>0</v>
      </c>
      <c r="I4" s="86">
        <v>2</v>
      </c>
      <c r="J4" s="86">
        <v>0</v>
      </c>
      <c r="K4" s="68" t="str">
        <f t="shared" ref="K4:K35" si="2">IF(I4&gt;J4,"1",IF(I4&lt;J4,"2","X"))</f>
        <v>1</v>
      </c>
      <c r="L4" s="72">
        <f t="shared" ref="L4:L35" si="3">IF(K4=$H4,IF(I4=$F4,IF(J4=$G4,IF($F4-$G4&gt;=3,6,IF($G4-$F4&gt;=3,6,IF($F4+$G4&gt;=4,6,5))),3),3),0)</f>
        <v>0</v>
      </c>
      <c r="M4" s="86">
        <v>3</v>
      </c>
      <c r="N4" s="86">
        <v>0</v>
      </c>
      <c r="O4" s="68" t="str">
        <f t="shared" ref="O4:O35" si="4">IF(M4&gt;N4,"1",IF(M4&lt;N4,"2","X"))</f>
        <v>1</v>
      </c>
      <c r="P4" s="72">
        <f t="shared" ref="P4:P35" si="5">IF(O4=$H4,IF(M4=$F4,IF(N4=$G4,IF($F4-$G4&gt;=3,6,IF($G4-$F4&gt;=3,6,IF($F4+$G4&gt;=4,6,5))),3),3),0)</f>
        <v>0</v>
      </c>
      <c r="Q4" s="86">
        <v>3</v>
      </c>
      <c r="R4" s="86">
        <v>0</v>
      </c>
      <c r="S4" s="68" t="str">
        <f t="shared" ref="S4:S35" si="6">IF(Q4&gt;R4,"1",IF(Q4&lt;R4,"2","X"))</f>
        <v>1</v>
      </c>
      <c r="T4" s="72">
        <f t="shared" ref="T4:T35" si="7">IF(S4=$H4,IF(Q4=$F4,IF(R4=$G4,IF($F4-$G4&gt;=3,6,IF($G4-$F4&gt;=3,6,IF($F4+$G4&gt;=4,6,5))),3),3),0)</f>
        <v>0</v>
      </c>
      <c r="U4" s="86">
        <v>1</v>
      </c>
      <c r="V4" s="86">
        <v>0</v>
      </c>
      <c r="W4" s="68" t="str">
        <f t="shared" ref="W4:W35" si="8">IF(U4&gt;V4,"1",IF(U4&lt;V4,"2","X"))</f>
        <v>1</v>
      </c>
      <c r="X4" s="72">
        <f t="shared" ref="X4:X35" si="9">IF(W4=$H4,IF(U4=$F4,IF(V4=$G4,IF($F4-$G4&gt;=3,6,IF($G4-$F4&gt;=3,6,IF($F4+$G4&gt;=4,6,5))),3),3),0)</f>
        <v>0</v>
      </c>
      <c r="Y4" s="86">
        <v>3</v>
      </c>
      <c r="Z4" s="86">
        <v>0</v>
      </c>
      <c r="AA4" s="68" t="str">
        <f t="shared" ref="AA4:AA35" si="10">IF(Y4&gt;Z4,"1",IF(Y4&lt;Z4,"2","X"))</f>
        <v>1</v>
      </c>
      <c r="AB4" s="72">
        <f t="shared" ref="AB4:AB35" si="11">IF(AA4=$H4,IF(Y4=$F4,IF(Z4=$G4,IF($F4-$G4&gt;=3,6,IF($G4-$F4&gt;=3,6,IF($F4+$G4&gt;=4,6,5))),3),3),0)</f>
        <v>0</v>
      </c>
      <c r="AC4" s="86">
        <v>2</v>
      </c>
      <c r="AD4" s="86">
        <v>0</v>
      </c>
      <c r="AE4" s="68" t="str">
        <f t="shared" ref="AE4:AE35" si="12">IF(AC4&gt;AD4,"1",IF(AC4&lt;AD4,"2","X"))</f>
        <v>1</v>
      </c>
      <c r="AF4" s="72">
        <f t="shared" ref="AF4:AF35" si="13">IF(AE4=$H4,IF(AC4=$F4,IF(AD4=$G4,IF($F4-$G4&gt;=3,6,IF($G4-$F4&gt;=3,6,IF($F4+$G4&gt;=4,6,5))),3),3),0)</f>
        <v>0</v>
      </c>
      <c r="AG4" s="86">
        <v>2</v>
      </c>
      <c r="AH4" s="86">
        <v>1</v>
      </c>
      <c r="AI4" s="68" t="str">
        <f t="shared" ref="AI4:AI35" si="14">IF(AG4&gt;AH4,"1",IF(AG4&lt;AH4,"2","X"))</f>
        <v>1</v>
      </c>
      <c r="AJ4" s="72">
        <f t="shared" ref="AJ4:AJ35" si="15">IF(AI4=$H4,IF(AG4=$F4,IF(AH4=$G4,IF($F4-$G4&gt;=3,6,IF($G4-$F4&gt;=3,6,IF($F4+$G4&gt;=4,6,5))),3),3),0)</f>
        <v>0</v>
      </c>
      <c r="AK4" s="86">
        <v>3</v>
      </c>
      <c r="AL4" s="86">
        <v>0</v>
      </c>
      <c r="AM4" s="68" t="str">
        <f t="shared" ref="AM4:AM35" si="16">IF(AK4&gt;AL4,"1",IF(AK4&lt;AL4,"2","X"))</f>
        <v>1</v>
      </c>
      <c r="AN4" s="72">
        <f t="shared" ref="AN4:AN35" si="17">IF(AM4=$H4,IF(AK4=$F4,IF(AL4=$G4,IF($F4-$G4&gt;=3,6,IF($G4-$F4&gt;=3,6,IF($F4+$G4&gt;=4,6,5))),3),3),0)</f>
        <v>0</v>
      </c>
      <c r="AO4" s="86">
        <v>1</v>
      </c>
      <c r="AP4" s="86">
        <v>0</v>
      </c>
      <c r="AQ4" s="68" t="str">
        <f t="shared" ref="AQ4:AQ35" si="18">IF(AO4&gt;AP4,"1",IF(AO4&lt;AP4,"2","X"))</f>
        <v>1</v>
      </c>
      <c r="AR4" s="72">
        <f t="shared" ref="AR4:AR35" si="19">IF(AQ4=$H4,IF(AO4=$F4,IF(AP4=$G4,IF($F4-$G4&gt;=3,6,IF($G4-$F4&gt;=3,6,IF($F4+$G4&gt;=4,6,5))),3),3),0)</f>
        <v>0</v>
      </c>
      <c r="AS4" s="89">
        <v>2</v>
      </c>
      <c r="AT4" s="89">
        <v>0</v>
      </c>
      <c r="AU4" s="68" t="str">
        <f t="shared" ref="AU4:AU35" si="20">IF(AS4&gt;AT4,"1",IF(AS4&lt;AT4,"2","X"))</f>
        <v>1</v>
      </c>
      <c r="AV4" s="72">
        <f t="shared" ref="AV4:AV35" si="21">IF(AU4=$H4,IF(AS4=$F4,IF(AT4=$G4,IF($F4-$G4&gt;=3,6,IF($G4-$F4&gt;=3,6,IF($F4+$G4&gt;=4,6,5))),3),3),0)</f>
        <v>0</v>
      </c>
      <c r="AW4" s="86">
        <v>2</v>
      </c>
      <c r="AX4" s="86">
        <v>1</v>
      </c>
      <c r="AY4" s="68" t="str">
        <f t="shared" ref="AY4:AY35" si="22">IF(AW4&gt;AX4,"1",IF(AW4&lt;AX4,"2","X"))</f>
        <v>1</v>
      </c>
      <c r="AZ4" s="72">
        <f t="shared" ref="AZ4:AZ35" si="23">IF(AY4=$H4,IF(AW4=$F4,IF(AX4=$G4,IF($F4-$G4&gt;=3,6,IF($G4-$F4&gt;=3,6,IF($F4+$G4&gt;=4,6,5))),3),3),0)</f>
        <v>0</v>
      </c>
      <c r="BA4" s="90">
        <v>2</v>
      </c>
      <c r="BB4" s="90">
        <v>0</v>
      </c>
      <c r="BC4" s="68" t="str">
        <f t="shared" ref="BC4:BC35" si="24">IF(BA4&gt;BB4,"1",IF(BA4&lt;BB4,"2","X"))</f>
        <v>1</v>
      </c>
      <c r="BD4" s="72">
        <f t="shared" ref="BD4:BD35" si="25">IF(BC4=$H4,IF(BA4=$F4,IF(BB4=$G4,IF($F4-$G4&gt;=3,6,IF($G4-$F4&gt;=3,6,IF($F4+$G4&gt;=4,6,5))),3),3),0)</f>
        <v>0</v>
      </c>
      <c r="BE4" s="86">
        <v>1</v>
      </c>
      <c r="BF4" s="86">
        <v>0</v>
      </c>
      <c r="BG4" s="68" t="str">
        <f t="shared" ref="BG4:BG35" si="26">IF(BE4&gt;BF4,"1",IF(BE4&lt;BF4,"2","X"))</f>
        <v>1</v>
      </c>
      <c r="BH4" s="72">
        <f t="shared" ref="BH4:BH35" si="27">IF(BG4=$H4,IF(BE4=$F4,IF(BF4=$G4,IF($F4-$G4&gt;=3,6,IF($G4-$F4&gt;=3,6,IF($F4+$G4&gt;=4,6,5))),3),3),0)</f>
        <v>0</v>
      </c>
      <c r="BI4" s="86">
        <v>1</v>
      </c>
      <c r="BJ4" s="86">
        <v>0</v>
      </c>
      <c r="BK4" s="68" t="str">
        <f t="shared" ref="BK4:BK35" si="28">IF(BI4&gt;BJ4,"1",IF(BI4&lt;BJ4,"2","X"))</f>
        <v>1</v>
      </c>
      <c r="BL4" s="72">
        <f t="shared" ref="BL4:BL35" si="29">IF(BK4=$H4,IF(BI4=$F4,IF(BJ4=$G4,IF($F4-$G4&gt;=3,6,IF($G4-$F4&gt;=3,6,IF($F4+$G4&gt;=4,6,5))),3),3),0)</f>
        <v>0</v>
      </c>
      <c r="BM4" s="86">
        <v>1</v>
      </c>
      <c r="BN4" s="86">
        <v>0</v>
      </c>
      <c r="BO4" s="68" t="str">
        <f t="shared" ref="BO4:BO35" si="30">IF(BM4&gt;BN4,"1",IF(BM4&lt;BN4,"2","X"))</f>
        <v>1</v>
      </c>
      <c r="BP4" s="72">
        <f t="shared" ref="BP4:BP35" si="31">IF(BO4=$H4,IF(BM4=$F4,IF(BN4=$G4,IF($F4-$G4&gt;=3,6,IF($G4-$F4&gt;=3,6,IF($F4+$G4&gt;=4,6,5))),3),3),0)</f>
        <v>0</v>
      </c>
      <c r="BQ4" s="86">
        <v>2</v>
      </c>
      <c r="BR4" s="86">
        <v>1</v>
      </c>
      <c r="BS4" s="68" t="str">
        <f t="shared" ref="BS4:BS35" si="32">IF(BQ4&gt;BR4,"1",IF(BQ4&lt;BR4,"2","X"))</f>
        <v>1</v>
      </c>
      <c r="BT4" s="72">
        <f t="shared" ref="BT4:BT35" si="33">IF(BS4=$H4,IF(BQ4=$F4,IF(BR4=$G4,IF($F4-$G4&gt;=3,6,IF($G4-$F4&gt;=3,6,IF($F4+$G4&gt;=4,6,5))),3),3),0)</f>
        <v>0</v>
      </c>
      <c r="BU4" s="86">
        <v>2</v>
      </c>
      <c r="BV4" s="86">
        <v>1</v>
      </c>
      <c r="BW4" s="68" t="str">
        <f t="shared" ref="BW4:BW35" si="34">IF(BU4&gt;BV4,"1",IF(BU4&lt;BV4,"2","X"))</f>
        <v>1</v>
      </c>
      <c r="BX4" s="72">
        <f t="shared" ref="BX4:BX35" si="35">IF(BW4=$H4,IF(BU4=$F4,IF(BV4=$G4,IF($F4-$G4&gt;=3,6,IF($G4-$F4&gt;=3,6,IF($F4+$G4&gt;=4,6,5))),3),3),0)</f>
        <v>0</v>
      </c>
      <c r="BY4" s="86">
        <v>2</v>
      </c>
      <c r="BZ4" s="86">
        <v>1</v>
      </c>
      <c r="CA4" s="68" t="str">
        <f t="shared" ref="CA4:CA35" si="36">IF(BY4&gt;BZ4,"1",IF(BY4&lt;BZ4,"2","X"))</f>
        <v>1</v>
      </c>
      <c r="CB4" s="72">
        <f t="shared" ref="CB4:CB35" si="37">IF(CA4=$H4,IF(BY4=$F4,IF(BZ4=$G4,IF($F4-$G4&gt;=3,6,IF($G4-$F4&gt;=3,6,IF($F4+$G4&gt;=4,6,5))),3),3),0)</f>
        <v>0</v>
      </c>
      <c r="CC4" s="86">
        <v>2</v>
      </c>
      <c r="CD4" s="86">
        <v>1</v>
      </c>
      <c r="CE4" s="68" t="str">
        <f t="shared" ref="CE4:CE35" si="38">IF(CC4&gt;CD4,"1",IF(CC4&lt;CD4,"2","X"))</f>
        <v>1</v>
      </c>
      <c r="CF4" s="72">
        <f t="shared" ref="CF4:CF35" si="39">IF(CE4=$H4,IF(CC4=$F4,IF(CD4=$G4,IF($F4-$G4&gt;=3,6,IF($G4-$F4&gt;=3,6,IF($F4+$G4&gt;=4,6,5))),3),3),0)</f>
        <v>0</v>
      </c>
      <c r="CG4" s="86">
        <v>2</v>
      </c>
      <c r="CH4" s="86">
        <v>0</v>
      </c>
      <c r="CI4" s="68" t="str">
        <f t="shared" ref="CI4:CI35" si="40">IF(CG4&gt;CH4,"1",IF(CG4&lt;CH4,"2","X"))</f>
        <v>1</v>
      </c>
      <c r="CJ4" s="72">
        <f t="shared" ref="CJ4:CJ35" si="41">IF(CI4=$H4,IF(CG4=$F4,IF(CH4=$G4,IF($F4-$G4&gt;=3,6,IF($G4-$F4&gt;=3,6,IF($F4+$G4&gt;=4,6,5))),3),3),0)</f>
        <v>0</v>
      </c>
      <c r="CK4" s="89">
        <v>2</v>
      </c>
      <c r="CL4" s="89">
        <v>1</v>
      </c>
      <c r="CM4" s="68" t="str">
        <f t="shared" ref="CM4:CM35" si="42">IF(CK4&gt;CL4,"1",IF(CK4&lt;CL4,"2","X"))</f>
        <v>1</v>
      </c>
      <c r="CN4" s="72">
        <f t="shared" ref="CN4:CN35" si="43">IF(CM4=$H4,IF(CK4=$F4,IF(CL4=$G4,IF($F4-$G4&gt;=3,6,IF($G4-$F4&gt;=3,6,IF($F4+$G4&gt;=4,6,5))),3),3),0)</f>
        <v>0</v>
      </c>
      <c r="CO4" s="86">
        <v>2</v>
      </c>
      <c r="CP4" s="86">
        <v>0</v>
      </c>
      <c r="CQ4" s="68" t="str">
        <f t="shared" ref="CQ4:CQ35" si="44">IF(CO4&gt;CP4,"1",IF(CO4&lt;CP4,"2","X"))</f>
        <v>1</v>
      </c>
      <c r="CR4" s="72">
        <f t="shared" ref="CR4:CR35" si="45">IF(CQ4=$H4,IF(CO4=$F4,IF(CP4=$G4,IF($F4-$G4&gt;=3,6,IF($G4-$F4&gt;=3,6,IF($F4+$G4&gt;=4,6,5))),3),3),0)</f>
        <v>0</v>
      </c>
      <c r="CS4" s="86">
        <v>2</v>
      </c>
      <c r="CT4" s="86">
        <v>0</v>
      </c>
      <c r="CU4" s="68" t="str">
        <f t="shared" ref="CU4:CU35" si="46">IF(CS4&gt;CT4,"1",IF(CS4&lt;CT4,"2","X"))</f>
        <v>1</v>
      </c>
      <c r="CV4" s="72">
        <f t="shared" ref="CV4:CV35" si="47">IF(CU4=$H4,IF(CS4=$F4,IF(CT4=$G4,IF($F4-$G4&gt;=3,6,IF($G4-$F4&gt;=3,6,IF($F4+$G4&gt;=4,6,5))),3),3),0)</f>
        <v>0</v>
      </c>
      <c r="CW4" s="86">
        <v>2</v>
      </c>
      <c r="CX4" s="86">
        <v>1</v>
      </c>
      <c r="CY4" s="68" t="str">
        <f t="shared" ref="CY4:CY35" si="48">IF(CW4&gt;CX4,"1",IF(CW4&lt;CX4,"2","X"))</f>
        <v>1</v>
      </c>
      <c r="CZ4" s="72">
        <f t="shared" ref="CZ4:CZ35" si="49">IF(CY4=$H4,IF(CW4=$F4,IF(CX4=$G4,IF($F4-$G4&gt;=3,6,IF($G4-$F4&gt;=3,6,IF($F4+$G4&gt;=4,6,5))),3),3),0)</f>
        <v>0</v>
      </c>
      <c r="DA4" s="86">
        <v>2</v>
      </c>
      <c r="DB4" s="86">
        <v>0</v>
      </c>
      <c r="DC4" s="68" t="str">
        <f t="shared" ref="DC4:DC35" si="50">IF(DA4&gt;DB4,"1",IF(DA4&lt;DB4,"2","X"))</f>
        <v>1</v>
      </c>
      <c r="DD4" s="72">
        <f t="shared" ref="DD4:DD35" si="51">IF(DC4=$H4,IF(DA4=$F4,IF(DB4=$G4,IF($F4-$G4&gt;=3,6,IF($G4-$F4&gt;=3,6,IF($F4+$G4&gt;=4,6,5))),3),3),0)</f>
        <v>0</v>
      </c>
      <c r="DE4" s="86">
        <v>2</v>
      </c>
      <c r="DF4" s="86">
        <v>0</v>
      </c>
      <c r="DG4" s="68" t="str">
        <f t="shared" ref="DG4:DG35" si="52">IF(DE4&gt;DF4,"1",IF(DE4&lt;DF4,"2","X"))</f>
        <v>1</v>
      </c>
      <c r="DH4" s="72">
        <f t="shared" ref="DH4:DH35" si="53">IF(DG4=$H4,IF(DE4=$F4,IF(DF4=$G4,IF($F4-$G4&gt;=3,6,IF($G4-$F4&gt;=3,6,IF($F4+$G4&gt;=4,6,5))),3),3),0)</f>
        <v>0</v>
      </c>
      <c r="DI4" s="86">
        <v>2</v>
      </c>
      <c r="DJ4" s="86">
        <v>0</v>
      </c>
      <c r="DK4" s="68" t="str">
        <f t="shared" ref="DK4:DK35" si="54">IF(DI4&gt;DJ4,"1",IF(DI4&lt;DJ4,"2","X"))</f>
        <v>1</v>
      </c>
      <c r="DL4" s="72">
        <f t="shared" ref="DL4:DL35" si="55">IF(DK4=$H4,IF(DI4=$F4,IF(DJ4=$G4,IF($F4-$G4&gt;=3,6,IF($G4-$F4&gt;=3,6,IF($F4+$G4&gt;=4,6,5))),3),3),0)</f>
        <v>0</v>
      </c>
      <c r="DM4" s="86">
        <v>2</v>
      </c>
      <c r="DN4" s="86">
        <v>0</v>
      </c>
      <c r="DO4" s="68" t="str">
        <f t="shared" ref="DO4:DO67" si="56">IF(DM4&gt;DN4,"1",IF(DM4&lt;DN4,"2","X"))</f>
        <v>1</v>
      </c>
      <c r="DP4" s="72">
        <f t="shared" ref="DP4:DP67" si="57">IF(DO4=$H4,IF(DM4=$F4,IF(DN4=$G4,IF($F4-$G4&gt;=3,6,IF($G4-$F4&gt;=3,6,IF($F4+$G4&gt;=4,6,5))),3),3),0)</f>
        <v>0</v>
      </c>
    </row>
    <row r="5" spans="1:120" ht="15.75" customHeight="1">
      <c r="A5" s="130">
        <v>44723</v>
      </c>
      <c r="B5" s="131" t="s">
        <v>104</v>
      </c>
      <c r="C5" s="85" t="s">
        <v>49</v>
      </c>
      <c r="D5" s="85" t="s">
        <v>50</v>
      </c>
      <c r="E5" s="84">
        <f t="shared" si="0"/>
        <v>0</v>
      </c>
      <c r="F5" s="22"/>
      <c r="G5" s="3"/>
      <c r="H5" s="76" t="b">
        <f t="shared" si="1"/>
        <v>0</v>
      </c>
      <c r="I5" s="87">
        <v>1</v>
      </c>
      <c r="J5" s="87">
        <v>1</v>
      </c>
      <c r="K5" s="69" t="str">
        <f t="shared" si="2"/>
        <v>X</v>
      </c>
      <c r="L5" s="73">
        <f t="shared" si="3"/>
        <v>0</v>
      </c>
      <c r="M5" s="87">
        <v>1</v>
      </c>
      <c r="N5" s="87">
        <v>1</v>
      </c>
      <c r="O5" s="69" t="str">
        <f t="shared" si="4"/>
        <v>X</v>
      </c>
      <c r="P5" s="73">
        <f t="shared" si="5"/>
        <v>0</v>
      </c>
      <c r="Q5" s="87">
        <v>0</v>
      </c>
      <c r="R5" s="87">
        <v>0</v>
      </c>
      <c r="S5" s="69" t="str">
        <f t="shared" si="6"/>
        <v>X</v>
      </c>
      <c r="T5" s="73">
        <f t="shared" si="7"/>
        <v>0</v>
      </c>
      <c r="U5" s="87">
        <v>1</v>
      </c>
      <c r="V5" s="87">
        <v>1</v>
      </c>
      <c r="W5" s="69" t="str">
        <f t="shared" si="8"/>
        <v>X</v>
      </c>
      <c r="X5" s="73">
        <f t="shared" si="9"/>
        <v>0</v>
      </c>
      <c r="Y5" s="87">
        <v>0</v>
      </c>
      <c r="Z5" s="87">
        <v>1</v>
      </c>
      <c r="AA5" s="69" t="str">
        <f t="shared" si="10"/>
        <v>2</v>
      </c>
      <c r="AB5" s="73">
        <f t="shared" si="11"/>
        <v>0</v>
      </c>
      <c r="AC5" s="87">
        <v>1</v>
      </c>
      <c r="AD5" s="87">
        <v>1</v>
      </c>
      <c r="AE5" s="69" t="str">
        <f t="shared" si="12"/>
        <v>X</v>
      </c>
      <c r="AF5" s="73">
        <f t="shared" si="13"/>
        <v>0</v>
      </c>
      <c r="AG5" s="87">
        <v>1</v>
      </c>
      <c r="AH5" s="87">
        <v>2</v>
      </c>
      <c r="AI5" s="69" t="str">
        <f t="shared" si="14"/>
        <v>2</v>
      </c>
      <c r="AJ5" s="73">
        <f t="shared" si="15"/>
        <v>0</v>
      </c>
      <c r="AK5" s="87">
        <v>0</v>
      </c>
      <c r="AL5" s="87">
        <v>2</v>
      </c>
      <c r="AM5" s="69" t="str">
        <f t="shared" si="16"/>
        <v>2</v>
      </c>
      <c r="AN5" s="73">
        <f t="shared" si="17"/>
        <v>0</v>
      </c>
      <c r="AO5" s="87">
        <v>2</v>
      </c>
      <c r="AP5" s="87">
        <v>1</v>
      </c>
      <c r="AQ5" s="69" t="str">
        <f t="shared" si="18"/>
        <v>1</v>
      </c>
      <c r="AR5" s="73">
        <f t="shared" si="19"/>
        <v>0</v>
      </c>
      <c r="AS5" s="88">
        <v>2</v>
      </c>
      <c r="AT5" s="88">
        <v>1</v>
      </c>
      <c r="AU5" s="69" t="str">
        <f t="shared" si="20"/>
        <v>1</v>
      </c>
      <c r="AV5" s="73">
        <f t="shared" si="21"/>
        <v>0</v>
      </c>
      <c r="AW5" s="87">
        <v>1</v>
      </c>
      <c r="AX5" s="87">
        <v>1</v>
      </c>
      <c r="AY5" s="69" t="str">
        <f t="shared" si="22"/>
        <v>X</v>
      </c>
      <c r="AZ5" s="73">
        <f t="shared" si="23"/>
        <v>0</v>
      </c>
      <c r="BA5" s="91">
        <v>1</v>
      </c>
      <c r="BB5" s="91">
        <v>2</v>
      </c>
      <c r="BC5" s="69" t="str">
        <f t="shared" si="24"/>
        <v>2</v>
      </c>
      <c r="BD5" s="73">
        <f t="shared" si="25"/>
        <v>0</v>
      </c>
      <c r="BE5" s="87">
        <v>1</v>
      </c>
      <c r="BF5" s="87">
        <v>1</v>
      </c>
      <c r="BG5" s="69" t="str">
        <f t="shared" si="26"/>
        <v>X</v>
      </c>
      <c r="BH5" s="73">
        <f t="shared" si="27"/>
        <v>0</v>
      </c>
      <c r="BI5" s="87">
        <v>1</v>
      </c>
      <c r="BJ5" s="87">
        <v>0</v>
      </c>
      <c r="BK5" s="69" t="str">
        <f t="shared" si="28"/>
        <v>1</v>
      </c>
      <c r="BL5" s="73">
        <f t="shared" si="29"/>
        <v>0</v>
      </c>
      <c r="BM5" s="87">
        <v>0</v>
      </c>
      <c r="BN5" s="87">
        <v>1</v>
      </c>
      <c r="BO5" s="69" t="str">
        <f t="shared" si="30"/>
        <v>2</v>
      </c>
      <c r="BP5" s="73">
        <f t="shared" si="31"/>
        <v>0</v>
      </c>
      <c r="BQ5" s="87">
        <v>1</v>
      </c>
      <c r="BR5" s="87">
        <v>2</v>
      </c>
      <c r="BS5" s="69" t="str">
        <f t="shared" si="32"/>
        <v>2</v>
      </c>
      <c r="BT5" s="73">
        <f t="shared" si="33"/>
        <v>0</v>
      </c>
      <c r="BU5" s="87">
        <v>2</v>
      </c>
      <c r="BV5" s="87">
        <v>3</v>
      </c>
      <c r="BW5" s="69" t="str">
        <f t="shared" si="34"/>
        <v>2</v>
      </c>
      <c r="BX5" s="73">
        <f t="shared" si="35"/>
        <v>0</v>
      </c>
      <c r="BY5" s="87">
        <v>1</v>
      </c>
      <c r="BZ5" s="87">
        <v>1</v>
      </c>
      <c r="CA5" s="69" t="str">
        <f t="shared" si="36"/>
        <v>X</v>
      </c>
      <c r="CB5" s="73">
        <f t="shared" si="37"/>
        <v>0</v>
      </c>
      <c r="CC5" s="87">
        <v>1</v>
      </c>
      <c r="CD5" s="87">
        <v>1</v>
      </c>
      <c r="CE5" s="69" t="str">
        <f t="shared" si="38"/>
        <v>X</v>
      </c>
      <c r="CF5" s="73">
        <f t="shared" si="39"/>
        <v>0</v>
      </c>
      <c r="CG5" s="87">
        <v>1</v>
      </c>
      <c r="CH5" s="87">
        <v>1</v>
      </c>
      <c r="CI5" s="69" t="str">
        <f t="shared" si="40"/>
        <v>X</v>
      </c>
      <c r="CJ5" s="73">
        <f t="shared" si="41"/>
        <v>0</v>
      </c>
      <c r="CK5" s="88">
        <v>1</v>
      </c>
      <c r="CL5" s="88">
        <v>2</v>
      </c>
      <c r="CM5" s="69" t="str">
        <f t="shared" si="42"/>
        <v>2</v>
      </c>
      <c r="CN5" s="73">
        <f t="shared" si="43"/>
        <v>0</v>
      </c>
      <c r="CO5" s="87">
        <v>1</v>
      </c>
      <c r="CP5" s="87">
        <v>0</v>
      </c>
      <c r="CQ5" s="69" t="str">
        <f t="shared" si="44"/>
        <v>1</v>
      </c>
      <c r="CR5" s="73">
        <f t="shared" si="45"/>
        <v>0</v>
      </c>
      <c r="CS5" s="87">
        <v>1</v>
      </c>
      <c r="CT5" s="87">
        <v>1</v>
      </c>
      <c r="CU5" s="69" t="str">
        <f t="shared" si="46"/>
        <v>X</v>
      </c>
      <c r="CV5" s="73">
        <f t="shared" si="47"/>
        <v>0</v>
      </c>
      <c r="CW5" s="87">
        <v>1</v>
      </c>
      <c r="CX5" s="87">
        <v>2</v>
      </c>
      <c r="CY5" s="69" t="str">
        <f t="shared" si="48"/>
        <v>2</v>
      </c>
      <c r="CZ5" s="73">
        <f t="shared" si="49"/>
        <v>0</v>
      </c>
      <c r="DA5" s="87">
        <v>0</v>
      </c>
      <c r="DB5" s="87">
        <v>1</v>
      </c>
      <c r="DC5" s="69" t="str">
        <f t="shared" si="50"/>
        <v>2</v>
      </c>
      <c r="DD5" s="73">
        <f t="shared" si="51"/>
        <v>0</v>
      </c>
      <c r="DE5" s="87">
        <v>1</v>
      </c>
      <c r="DF5" s="87">
        <v>1</v>
      </c>
      <c r="DG5" s="69" t="str">
        <f t="shared" si="52"/>
        <v>X</v>
      </c>
      <c r="DH5" s="73">
        <f t="shared" si="53"/>
        <v>0</v>
      </c>
      <c r="DI5" s="87">
        <v>1</v>
      </c>
      <c r="DJ5" s="87">
        <v>2</v>
      </c>
      <c r="DK5" s="69" t="str">
        <f t="shared" si="54"/>
        <v>2</v>
      </c>
      <c r="DL5" s="73">
        <f t="shared" si="55"/>
        <v>0</v>
      </c>
      <c r="DM5" s="87">
        <v>1</v>
      </c>
      <c r="DN5" s="87">
        <v>1</v>
      </c>
      <c r="DO5" s="69" t="str">
        <f t="shared" si="56"/>
        <v>X</v>
      </c>
      <c r="DP5" s="73">
        <f t="shared" si="57"/>
        <v>0</v>
      </c>
    </row>
    <row r="6" spans="1:120" ht="15.75" customHeight="1">
      <c r="A6" s="130">
        <v>44729</v>
      </c>
      <c r="B6" s="131" t="s">
        <v>105</v>
      </c>
      <c r="C6" s="85" t="s">
        <v>50</v>
      </c>
      <c r="D6" s="85" t="s">
        <v>48</v>
      </c>
      <c r="E6" s="84">
        <f t="shared" si="0"/>
        <v>0</v>
      </c>
      <c r="F6" s="22"/>
      <c r="G6" s="3"/>
      <c r="H6" s="76" t="b">
        <f t="shared" si="1"/>
        <v>0</v>
      </c>
      <c r="I6" s="87">
        <v>2</v>
      </c>
      <c r="J6" s="87">
        <v>0</v>
      </c>
      <c r="K6" s="69" t="str">
        <f t="shared" si="2"/>
        <v>1</v>
      </c>
      <c r="L6" s="73">
        <f t="shared" si="3"/>
        <v>0</v>
      </c>
      <c r="M6" s="87">
        <v>2</v>
      </c>
      <c r="N6" s="87">
        <v>1</v>
      </c>
      <c r="O6" s="69" t="str">
        <f t="shared" si="4"/>
        <v>1</v>
      </c>
      <c r="P6" s="73">
        <f t="shared" si="5"/>
        <v>0</v>
      </c>
      <c r="Q6" s="87">
        <v>2</v>
      </c>
      <c r="R6" s="87">
        <v>1</v>
      </c>
      <c r="S6" s="69" t="str">
        <f t="shared" si="6"/>
        <v>1</v>
      </c>
      <c r="T6" s="73">
        <f t="shared" si="7"/>
        <v>0</v>
      </c>
      <c r="U6" s="87">
        <v>2</v>
      </c>
      <c r="V6" s="87">
        <v>0</v>
      </c>
      <c r="W6" s="69" t="str">
        <f t="shared" si="8"/>
        <v>1</v>
      </c>
      <c r="X6" s="73">
        <f t="shared" si="9"/>
        <v>0</v>
      </c>
      <c r="Y6" s="87">
        <v>2</v>
      </c>
      <c r="Z6" s="87">
        <v>1</v>
      </c>
      <c r="AA6" s="69" t="str">
        <f t="shared" si="10"/>
        <v>1</v>
      </c>
      <c r="AB6" s="73">
        <f t="shared" si="11"/>
        <v>0</v>
      </c>
      <c r="AC6" s="87">
        <v>2</v>
      </c>
      <c r="AD6" s="87">
        <v>0</v>
      </c>
      <c r="AE6" s="69" t="str">
        <f t="shared" si="12"/>
        <v>1</v>
      </c>
      <c r="AF6" s="73">
        <f t="shared" si="13"/>
        <v>0</v>
      </c>
      <c r="AG6" s="87">
        <v>1</v>
      </c>
      <c r="AH6" s="87">
        <v>1</v>
      </c>
      <c r="AI6" s="69" t="str">
        <f t="shared" si="14"/>
        <v>X</v>
      </c>
      <c r="AJ6" s="73">
        <f t="shared" si="15"/>
        <v>0</v>
      </c>
      <c r="AK6" s="87">
        <v>2</v>
      </c>
      <c r="AL6" s="87">
        <v>1</v>
      </c>
      <c r="AM6" s="69" t="str">
        <f t="shared" si="16"/>
        <v>1</v>
      </c>
      <c r="AN6" s="73">
        <f t="shared" si="17"/>
        <v>0</v>
      </c>
      <c r="AO6" s="87">
        <v>0</v>
      </c>
      <c r="AP6" s="87">
        <v>0</v>
      </c>
      <c r="AQ6" s="69" t="str">
        <f t="shared" si="18"/>
        <v>X</v>
      </c>
      <c r="AR6" s="73">
        <f t="shared" si="19"/>
        <v>0</v>
      </c>
      <c r="AS6" s="88">
        <v>2</v>
      </c>
      <c r="AT6" s="88">
        <v>0</v>
      </c>
      <c r="AU6" s="69" t="str">
        <f t="shared" si="20"/>
        <v>1</v>
      </c>
      <c r="AV6" s="73">
        <f t="shared" si="21"/>
        <v>0</v>
      </c>
      <c r="AW6" s="87">
        <v>0</v>
      </c>
      <c r="AX6" s="87">
        <v>0</v>
      </c>
      <c r="AY6" s="69" t="str">
        <f t="shared" si="22"/>
        <v>X</v>
      </c>
      <c r="AZ6" s="73">
        <f t="shared" si="23"/>
        <v>0</v>
      </c>
      <c r="BA6" s="91">
        <v>1</v>
      </c>
      <c r="BB6" s="91">
        <v>0</v>
      </c>
      <c r="BC6" s="69" t="str">
        <f t="shared" si="24"/>
        <v>1</v>
      </c>
      <c r="BD6" s="73">
        <f t="shared" si="25"/>
        <v>0</v>
      </c>
      <c r="BE6" s="87">
        <v>2</v>
      </c>
      <c r="BF6" s="87">
        <v>1</v>
      </c>
      <c r="BG6" s="69" t="str">
        <f t="shared" si="26"/>
        <v>1</v>
      </c>
      <c r="BH6" s="73">
        <f t="shared" si="27"/>
        <v>0</v>
      </c>
      <c r="BI6" s="87">
        <v>2</v>
      </c>
      <c r="BJ6" s="87">
        <v>1</v>
      </c>
      <c r="BK6" s="69" t="str">
        <f t="shared" si="28"/>
        <v>1</v>
      </c>
      <c r="BL6" s="73">
        <f t="shared" si="29"/>
        <v>0</v>
      </c>
      <c r="BM6" s="87">
        <v>2</v>
      </c>
      <c r="BN6" s="87">
        <v>0</v>
      </c>
      <c r="BO6" s="69" t="str">
        <f t="shared" si="30"/>
        <v>1</v>
      </c>
      <c r="BP6" s="73">
        <f t="shared" si="31"/>
        <v>0</v>
      </c>
      <c r="BQ6" s="87">
        <v>2</v>
      </c>
      <c r="BR6" s="87">
        <v>0</v>
      </c>
      <c r="BS6" s="69" t="str">
        <f t="shared" si="32"/>
        <v>1</v>
      </c>
      <c r="BT6" s="73">
        <f t="shared" si="33"/>
        <v>0</v>
      </c>
      <c r="BU6" s="87">
        <v>1</v>
      </c>
      <c r="BV6" s="87">
        <v>0</v>
      </c>
      <c r="BW6" s="69" t="str">
        <f t="shared" si="34"/>
        <v>1</v>
      </c>
      <c r="BX6" s="73">
        <f t="shared" si="35"/>
        <v>0</v>
      </c>
      <c r="BY6" s="87">
        <v>0</v>
      </c>
      <c r="BZ6" s="87">
        <v>2</v>
      </c>
      <c r="CA6" s="69" t="str">
        <f t="shared" si="36"/>
        <v>2</v>
      </c>
      <c r="CB6" s="73">
        <f t="shared" si="37"/>
        <v>0</v>
      </c>
      <c r="CC6" s="87">
        <v>2</v>
      </c>
      <c r="CD6" s="87">
        <v>1</v>
      </c>
      <c r="CE6" s="69" t="str">
        <f t="shared" si="38"/>
        <v>1</v>
      </c>
      <c r="CF6" s="73">
        <f t="shared" si="39"/>
        <v>0</v>
      </c>
      <c r="CG6" s="87">
        <v>2</v>
      </c>
      <c r="CH6" s="87">
        <v>0</v>
      </c>
      <c r="CI6" s="69" t="str">
        <f t="shared" si="40"/>
        <v>1</v>
      </c>
      <c r="CJ6" s="73">
        <f t="shared" si="41"/>
        <v>0</v>
      </c>
      <c r="CK6" s="88">
        <v>3</v>
      </c>
      <c r="CL6" s="88">
        <v>1</v>
      </c>
      <c r="CM6" s="69" t="str">
        <f t="shared" si="42"/>
        <v>1</v>
      </c>
      <c r="CN6" s="73">
        <f t="shared" si="43"/>
        <v>0</v>
      </c>
      <c r="CO6" s="87">
        <v>1</v>
      </c>
      <c r="CP6" s="87">
        <v>0</v>
      </c>
      <c r="CQ6" s="69" t="str">
        <f t="shared" si="44"/>
        <v>1</v>
      </c>
      <c r="CR6" s="73">
        <f t="shared" si="45"/>
        <v>0</v>
      </c>
      <c r="CS6" s="87">
        <v>1</v>
      </c>
      <c r="CT6" s="87">
        <v>0</v>
      </c>
      <c r="CU6" s="69" t="str">
        <f t="shared" si="46"/>
        <v>1</v>
      </c>
      <c r="CV6" s="73">
        <f t="shared" si="47"/>
        <v>0</v>
      </c>
      <c r="CW6" s="87">
        <v>1</v>
      </c>
      <c r="CX6" s="87">
        <v>2</v>
      </c>
      <c r="CY6" s="69" t="str">
        <f t="shared" si="48"/>
        <v>2</v>
      </c>
      <c r="CZ6" s="73">
        <f t="shared" si="49"/>
        <v>0</v>
      </c>
      <c r="DA6" s="87">
        <v>1</v>
      </c>
      <c r="DB6" s="87">
        <v>0</v>
      </c>
      <c r="DC6" s="69" t="str">
        <f t="shared" si="50"/>
        <v>1</v>
      </c>
      <c r="DD6" s="73">
        <f t="shared" si="51"/>
        <v>0</v>
      </c>
      <c r="DE6" s="87">
        <v>1</v>
      </c>
      <c r="DF6" s="87">
        <v>0</v>
      </c>
      <c r="DG6" s="69" t="str">
        <f t="shared" si="52"/>
        <v>1</v>
      </c>
      <c r="DH6" s="73">
        <f t="shared" si="53"/>
        <v>0</v>
      </c>
      <c r="DI6" s="87">
        <v>2</v>
      </c>
      <c r="DJ6" s="87">
        <v>0</v>
      </c>
      <c r="DK6" s="69" t="str">
        <f t="shared" si="54"/>
        <v>1</v>
      </c>
      <c r="DL6" s="73">
        <f t="shared" si="55"/>
        <v>0</v>
      </c>
      <c r="DM6" s="87">
        <v>0</v>
      </c>
      <c r="DN6" s="87">
        <v>0</v>
      </c>
      <c r="DO6" s="69" t="str">
        <f t="shared" si="56"/>
        <v>X</v>
      </c>
      <c r="DP6" s="73">
        <f t="shared" si="57"/>
        <v>0</v>
      </c>
    </row>
    <row r="7" spans="1:120" ht="15.75" customHeight="1">
      <c r="A7" s="130">
        <v>44730</v>
      </c>
      <c r="B7" s="131" t="s">
        <v>106</v>
      </c>
      <c r="C7" s="85" t="s">
        <v>47</v>
      </c>
      <c r="D7" s="85" t="s">
        <v>49</v>
      </c>
      <c r="E7" s="84">
        <f t="shared" si="0"/>
        <v>0</v>
      </c>
      <c r="F7" s="22"/>
      <c r="G7" s="4"/>
      <c r="H7" s="76" t="b">
        <f t="shared" si="1"/>
        <v>0</v>
      </c>
      <c r="I7" s="87">
        <v>2</v>
      </c>
      <c r="J7" s="87">
        <v>1</v>
      </c>
      <c r="K7" s="69" t="str">
        <f t="shared" si="2"/>
        <v>1</v>
      </c>
      <c r="L7" s="73">
        <f t="shared" si="3"/>
        <v>0</v>
      </c>
      <c r="M7" s="87">
        <v>1</v>
      </c>
      <c r="N7" s="87">
        <v>1</v>
      </c>
      <c r="O7" s="69" t="str">
        <f t="shared" si="4"/>
        <v>X</v>
      </c>
      <c r="P7" s="73">
        <f t="shared" si="5"/>
        <v>0</v>
      </c>
      <c r="Q7" s="87">
        <v>2</v>
      </c>
      <c r="R7" s="87">
        <v>1</v>
      </c>
      <c r="S7" s="69" t="str">
        <f t="shared" si="6"/>
        <v>1</v>
      </c>
      <c r="T7" s="73">
        <f t="shared" si="7"/>
        <v>0</v>
      </c>
      <c r="U7" s="87">
        <v>2</v>
      </c>
      <c r="V7" s="87">
        <v>0</v>
      </c>
      <c r="W7" s="69" t="str">
        <f t="shared" si="8"/>
        <v>1</v>
      </c>
      <c r="X7" s="73">
        <f t="shared" si="9"/>
        <v>0</v>
      </c>
      <c r="Y7" s="87">
        <v>1</v>
      </c>
      <c r="Z7" s="87">
        <v>1</v>
      </c>
      <c r="AA7" s="69" t="str">
        <f t="shared" si="10"/>
        <v>X</v>
      </c>
      <c r="AB7" s="73">
        <f t="shared" si="11"/>
        <v>0</v>
      </c>
      <c r="AC7" s="87">
        <v>2</v>
      </c>
      <c r="AD7" s="87">
        <v>1</v>
      </c>
      <c r="AE7" s="69" t="str">
        <f t="shared" si="12"/>
        <v>1</v>
      </c>
      <c r="AF7" s="73">
        <f t="shared" si="13"/>
        <v>0</v>
      </c>
      <c r="AG7" s="87">
        <v>1</v>
      </c>
      <c r="AH7" s="87">
        <v>1</v>
      </c>
      <c r="AI7" s="69" t="str">
        <f t="shared" si="14"/>
        <v>X</v>
      </c>
      <c r="AJ7" s="73">
        <f t="shared" si="15"/>
        <v>0</v>
      </c>
      <c r="AK7" s="87">
        <v>3</v>
      </c>
      <c r="AL7" s="87">
        <v>0</v>
      </c>
      <c r="AM7" s="69" t="str">
        <f t="shared" si="16"/>
        <v>1</v>
      </c>
      <c r="AN7" s="73">
        <f t="shared" si="17"/>
        <v>0</v>
      </c>
      <c r="AO7" s="87">
        <v>2</v>
      </c>
      <c r="AP7" s="87">
        <v>2</v>
      </c>
      <c r="AQ7" s="69" t="str">
        <f t="shared" si="18"/>
        <v>X</v>
      </c>
      <c r="AR7" s="73">
        <f t="shared" si="19"/>
        <v>0</v>
      </c>
      <c r="AS7" s="88">
        <v>1</v>
      </c>
      <c r="AT7" s="88">
        <v>1</v>
      </c>
      <c r="AU7" s="69" t="str">
        <f t="shared" si="20"/>
        <v>X</v>
      </c>
      <c r="AV7" s="73">
        <f t="shared" si="21"/>
        <v>0</v>
      </c>
      <c r="AW7" s="87">
        <v>1</v>
      </c>
      <c r="AX7" s="87">
        <v>1</v>
      </c>
      <c r="AY7" s="69" t="str">
        <f t="shared" si="22"/>
        <v>X</v>
      </c>
      <c r="AZ7" s="73">
        <f t="shared" si="23"/>
        <v>0</v>
      </c>
      <c r="BA7" s="91">
        <v>3</v>
      </c>
      <c r="BB7" s="91">
        <v>1</v>
      </c>
      <c r="BC7" s="69" t="str">
        <f t="shared" si="24"/>
        <v>1</v>
      </c>
      <c r="BD7" s="73">
        <f t="shared" si="25"/>
        <v>0</v>
      </c>
      <c r="BE7" s="87">
        <v>1</v>
      </c>
      <c r="BF7" s="87">
        <v>2</v>
      </c>
      <c r="BG7" s="69" t="str">
        <f t="shared" si="26"/>
        <v>2</v>
      </c>
      <c r="BH7" s="73">
        <f t="shared" si="27"/>
        <v>0</v>
      </c>
      <c r="BI7" s="87">
        <v>1</v>
      </c>
      <c r="BJ7" s="87">
        <v>1</v>
      </c>
      <c r="BK7" s="69" t="str">
        <f t="shared" si="28"/>
        <v>X</v>
      </c>
      <c r="BL7" s="73">
        <f t="shared" si="29"/>
        <v>0</v>
      </c>
      <c r="BM7" s="87">
        <v>2</v>
      </c>
      <c r="BN7" s="87">
        <v>1</v>
      </c>
      <c r="BO7" s="69" t="str">
        <f t="shared" si="30"/>
        <v>1</v>
      </c>
      <c r="BP7" s="73">
        <f t="shared" si="31"/>
        <v>0</v>
      </c>
      <c r="BQ7" s="87">
        <v>2</v>
      </c>
      <c r="BR7" s="87">
        <v>1</v>
      </c>
      <c r="BS7" s="69" t="str">
        <f t="shared" si="32"/>
        <v>1</v>
      </c>
      <c r="BT7" s="73">
        <f t="shared" si="33"/>
        <v>0</v>
      </c>
      <c r="BU7" s="87">
        <v>2</v>
      </c>
      <c r="BV7" s="87">
        <v>0</v>
      </c>
      <c r="BW7" s="69" t="str">
        <f t="shared" si="34"/>
        <v>1</v>
      </c>
      <c r="BX7" s="73">
        <f t="shared" si="35"/>
        <v>0</v>
      </c>
      <c r="BY7" s="87">
        <v>1</v>
      </c>
      <c r="BZ7" s="87">
        <v>0</v>
      </c>
      <c r="CA7" s="69" t="str">
        <f t="shared" si="36"/>
        <v>1</v>
      </c>
      <c r="CB7" s="73">
        <f t="shared" si="37"/>
        <v>0</v>
      </c>
      <c r="CC7" s="87">
        <v>2</v>
      </c>
      <c r="CD7" s="87">
        <v>0</v>
      </c>
      <c r="CE7" s="69" t="str">
        <f t="shared" si="38"/>
        <v>1</v>
      </c>
      <c r="CF7" s="73">
        <f t="shared" si="39"/>
        <v>0</v>
      </c>
      <c r="CG7" s="87">
        <v>1</v>
      </c>
      <c r="CH7" s="87">
        <v>0</v>
      </c>
      <c r="CI7" s="69" t="str">
        <f t="shared" si="40"/>
        <v>1</v>
      </c>
      <c r="CJ7" s="73">
        <f t="shared" si="41"/>
        <v>0</v>
      </c>
      <c r="CK7" s="88">
        <v>2</v>
      </c>
      <c r="CL7" s="88">
        <v>0</v>
      </c>
      <c r="CM7" s="69" t="str">
        <f t="shared" si="42"/>
        <v>1</v>
      </c>
      <c r="CN7" s="73">
        <f t="shared" si="43"/>
        <v>0</v>
      </c>
      <c r="CO7" s="87">
        <v>2</v>
      </c>
      <c r="CP7" s="87">
        <v>1</v>
      </c>
      <c r="CQ7" s="69" t="str">
        <f t="shared" si="44"/>
        <v>1</v>
      </c>
      <c r="CR7" s="73">
        <f t="shared" si="45"/>
        <v>0</v>
      </c>
      <c r="CS7" s="87">
        <v>1</v>
      </c>
      <c r="CT7" s="87">
        <v>0</v>
      </c>
      <c r="CU7" s="69" t="str">
        <f t="shared" si="46"/>
        <v>1</v>
      </c>
      <c r="CV7" s="73">
        <f t="shared" si="47"/>
        <v>0</v>
      </c>
      <c r="CW7" s="87">
        <v>2</v>
      </c>
      <c r="CX7" s="87">
        <v>1</v>
      </c>
      <c r="CY7" s="69" t="str">
        <f t="shared" si="48"/>
        <v>1</v>
      </c>
      <c r="CZ7" s="73">
        <f t="shared" si="49"/>
        <v>0</v>
      </c>
      <c r="DA7" s="87">
        <v>2</v>
      </c>
      <c r="DB7" s="87">
        <v>1</v>
      </c>
      <c r="DC7" s="69" t="str">
        <f t="shared" si="50"/>
        <v>1</v>
      </c>
      <c r="DD7" s="73">
        <f t="shared" si="51"/>
        <v>0</v>
      </c>
      <c r="DE7" s="87">
        <v>2</v>
      </c>
      <c r="DF7" s="87">
        <v>1</v>
      </c>
      <c r="DG7" s="69" t="str">
        <f t="shared" si="52"/>
        <v>1</v>
      </c>
      <c r="DH7" s="73">
        <f t="shared" si="53"/>
        <v>0</v>
      </c>
      <c r="DI7" s="87">
        <v>2</v>
      </c>
      <c r="DJ7" s="87">
        <v>1</v>
      </c>
      <c r="DK7" s="69" t="str">
        <f t="shared" si="54"/>
        <v>1</v>
      </c>
      <c r="DL7" s="73">
        <f t="shared" si="55"/>
        <v>0</v>
      </c>
      <c r="DM7" s="87">
        <v>2</v>
      </c>
      <c r="DN7" s="87">
        <v>2</v>
      </c>
      <c r="DO7" s="69" t="str">
        <f t="shared" si="56"/>
        <v>X</v>
      </c>
      <c r="DP7" s="73">
        <f t="shared" si="57"/>
        <v>0</v>
      </c>
    </row>
    <row r="8" spans="1:120" ht="15.75" customHeight="1">
      <c r="A8" s="130">
        <v>44736</v>
      </c>
      <c r="B8" s="131" t="s">
        <v>106</v>
      </c>
      <c r="C8" s="85" t="s">
        <v>50</v>
      </c>
      <c r="D8" s="85" t="s">
        <v>47</v>
      </c>
      <c r="E8" s="84">
        <f t="shared" si="0"/>
        <v>0</v>
      </c>
      <c r="F8" s="22"/>
      <c r="G8" s="4"/>
      <c r="H8" s="76" t="b">
        <f t="shared" si="1"/>
        <v>0</v>
      </c>
      <c r="I8" s="87"/>
      <c r="J8" s="87"/>
      <c r="K8" s="69" t="str">
        <f t="shared" si="2"/>
        <v>X</v>
      </c>
      <c r="L8" s="73">
        <f t="shared" si="3"/>
        <v>0</v>
      </c>
      <c r="M8" s="87"/>
      <c r="N8" s="87"/>
      <c r="O8" s="69" t="str">
        <f t="shared" si="4"/>
        <v>X</v>
      </c>
      <c r="P8" s="73">
        <f t="shared" si="5"/>
        <v>0</v>
      </c>
      <c r="Q8" s="87"/>
      <c r="R8" s="87"/>
      <c r="S8" s="69" t="str">
        <f t="shared" si="6"/>
        <v>X</v>
      </c>
      <c r="T8" s="73">
        <f t="shared" si="7"/>
        <v>0</v>
      </c>
      <c r="U8" s="87"/>
      <c r="V8" s="87"/>
      <c r="W8" s="69" t="str">
        <f t="shared" si="8"/>
        <v>X</v>
      </c>
      <c r="X8" s="73">
        <f t="shared" si="9"/>
        <v>0</v>
      </c>
      <c r="Y8" s="87"/>
      <c r="Z8" s="87"/>
      <c r="AA8" s="69" t="str">
        <f t="shared" si="10"/>
        <v>X</v>
      </c>
      <c r="AB8" s="73">
        <f t="shared" si="11"/>
        <v>0</v>
      </c>
      <c r="AC8" s="87"/>
      <c r="AD8" s="87"/>
      <c r="AE8" s="69" t="str">
        <f t="shared" si="12"/>
        <v>X</v>
      </c>
      <c r="AF8" s="73">
        <f t="shared" si="13"/>
        <v>0</v>
      </c>
      <c r="AG8" s="87"/>
      <c r="AH8" s="87"/>
      <c r="AI8" s="69" t="str">
        <f t="shared" si="14"/>
        <v>X</v>
      </c>
      <c r="AJ8" s="73">
        <f t="shared" si="15"/>
        <v>0</v>
      </c>
      <c r="AK8" s="87"/>
      <c r="AL8" s="87"/>
      <c r="AM8" s="69" t="str">
        <f t="shared" si="16"/>
        <v>X</v>
      </c>
      <c r="AN8" s="73">
        <f t="shared" si="17"/>
        <v>0</v>
      </c>
      <c r="AO8" s="87"/>
      <c r="AP8" s="87"/>
      <c r="AQ8" s="69" t="str">
        <f t="shared" si="18"/>
        <v>X</v>
      </c>
      <c r="AR8" s="73">
        <f t="shared" si="19"/>
        <v>0</v>
      </c>
      <c r="AS8" s="88"/>
      <c r="AT8" s="88"/>
      <c r="AU8" s="69" t="str">
        <f t="shared" si="20"/>
        <v>X</v>
      </c>
      <c r="AV8" s="73">
        <f t="shared" si="21"/>
        <v>0</v>
      </c>
      <c r="AW8" s="87"/>
      <c r="AX8" s="87"/>
      <c r="AY8" s="69" t="str">
        <f t="shared" si="22"/>
        <v>X</v>
      </c>
      <c r="AZ8" s="73">
        <f t="shared" si="23"/>
        <v>0</v>
      </c>
      <c r="BA8" s="91"/>
      <c r="BB8" s="91"/>
      <c r="BC8" s="69" t="str">
        <f t="shared" si="24"/>
        <v>X</v>
      </c>
      <c r="BD8" s="73">
        <f t="shared" si="25"/>
        <v>0</v>
      </c>
      <c r="BE8" s="87"/>
      <c r="BF8" s="87"/>
      <c r="BG8" s="69" t="str">
        <f t="shared" si="26"/>
        <v>X</v>
      </c>
      <c r="BH8" s="73">
        <f t="shared" si="27"/>
        <v>0</v>
      </c>
      <c r="BI8" s="87"/>
      <c r="BJ8" s="87"/>
      <c r="BK8" s="69" t="str">
        <f t="shared" si="28"/>
        <v>X</v>
      </c>
      <c r="BL8" s="73">
        <f t="shared" si="29"/>
        <v>0</v>
      </c>
      <c r="BM8" s="87"/>
      <c r="BN8" s="87"/>
      <c r="BO8" s="69" t="str">
        <f t="shared" si="30"/>
        <v>X</v>
      </c>
      <c r="BP8" s="73">
        <f t="shared" si="31"/>
        <v>0</v>
      </c>
      <c r="BQ8" s="87"/>
      <c r="BR8" s="87"/>
      <c r="BS8" s="69" t="str">
        <f t="shared" si="32"/>
        <v>X</v>
      </c>
      <c r="BT8" s="73">
        <f t="shared" si="33"/>
        <v>0</v>
      </c>
      <c r="BU8" s="87"/>
      <c r="BV8" s="87"/>
      <c r="BW8" s="69" t="str">
        <f t="shared" si="34"/>
        <v>X</v>
      </c>
      <c r="BX8" s="73">
        <f t="shared" si="35"/>
        <v>0</v>
      </c>
      <c r="BY8" s="87"/>
      <c r="BZ8" s="87"/>
      <c r="CA8" s="69" t="str">
        <f t="shared" si="36"/>
        <v>X</v>
      </c>
      <c r="CB8" s="73">
        <f t="shared" si="37"/>
        <v>0</v>
      </c>
      <c r="CC8" s="87"/>
      <c r="CD8" s="87"/>
      <c r="CE8" s="69" t="str">
        <f t="shared" si="38"/>
        <v>X</v>
      </c>
      <c r="CF8" s="73">
        <f t="shared" si="39"/>
        <v>0</v>
      </c>
      <c r="CG8" s="87"/>
      <c r="CH8" s="87"/>
      <c r="CI8" s="69" t="str">
        <f t="shared" si="40"/>
        <v>X</v>
      </c>
      <c r="CJ8" s="73">
        <f t="shared" si="41"/>
        <v>0</v>
      </c>
      <c r="CK8" s="88"/>
      <c r="CL8" s="88"/>
      <c r="CM8" s="69" t="str">
        <f t="shared" si="42"/>
        <v>X</v>
      </c>
      <c r="CN8" s="73">
        <f t="shared" si="43"/>
        <v>0</v>
      </c>
      <c r="CO8" s="87"/>
      <c r="CP8" s="87"/>
      <c r="CQ8" s="69" t="str">
        <f t="shared" si="44"/>
        <v>X</v>
      </c>
      <c r="CR8" s="73">
        <f t="shared" si="45"/>
        <v>0</v>
      </c>
      <c r="CS8" s="87"/>
      <c r="CT8" s="87"/>
      <c r="CU8" s="69" t="str">
        <f t="shared" si="46"/>
        <v>X</v>
      </c>
      <c r="CV8" s="73">
        <f t="shared" si="47"/>
        <v>0</v>
      </c>
      <c r="CW8" s="87"/>
      <c r="CX8" s="87"/>
      <c r="CY8" s="69" t="str">
        <f t="shared" si="48"/>
        <v>X</v>
      </c>
      <c r="CZ8" s="73">
        <f t="shared" si="49"/>
        <v>0</v>
      </c>
      <c r="DA8" s="87"/>
      <c r="DB8" s="87"/>
      <c r="DC8" s="69" t="str">
        <f t="shared" si="50"/>
        <v>X</v>
      </c>
      <c r="DD8" s="73">
        <f t="shared" si="51"/>
        <v>0</v>
      </c>
      <c r="DE8" s="87"/>
      <c r="DF8" s="87"/>
      <c r="DG8" s="69" t="str">
        <f t="shared" si="52"/>
        <v>X</v>
      </c>
      <c r="DH8" s="73">
        <f t="shared" si="53"/>
        <v>0</v>
      </c>
      <c r="DI8" s="87"/>
      <c r="DJ8" s="87"/>
      <c r="DK8" s="69" t="str">
        <f t="shared" si="54"/>
        <v>X</v>
      </c>
      <c r="DL8" s="73">
        <f t="shared" si="55"/>
        <v>0</v>
      </c>
      <c r="DM8" s="87"/>
      <c r="DN8" s="87"/>
      <c r="DO8" s="69" t="str">
        <f t="shared" si="56"/>
        <v>X</v>
      </c>
      <c r="DP8" s="73">
        <f t="shared" si="57"/>
        <v>0</v>
      </c>
    </row>
    <row r="9" spans="1:120" ht="15.75" customHeight="1">
      <c r="A9" s="130">
        <v>44736</v>
      </c>
      <c r="B9" s="131" t="s">
        <v>106</v>
      </c>
      <c r="C9" s="85" t="s">
        <v>48</v>
      </c>
      <c r="D9" s="85" t="s">
        <v>49</v>
      </c>
      <c r="E9" s="84">
        <f t="shared" si="0"/>
        <v>0</v>
      </c>
      <c r="F9" s="22"/>
      <c r="G9" s="4"/>
      <c r="H9" s="76" t="b">
        <f t="shared" si="1"/>
        <v>0</v>
      </c>
      <c r="I9" s="87"/>
      <c r="J9" s="87"/>
      <c r="K9" s="69" t="str">
        <f t="shared" si="2"/>
        <v>X</v>
      </c>
      <c r="L9" s="73">
        <f t="shared" si="3"/>
        <v>0</v>
      </c>
      <c r="M9" s="87"/>
      <c r="N9" s="87"/>
      <c r="O9" s="69" t="str">
        <f t="shared" si="4"/>
        <v>X</v>
      </c>
      <c r="P9" s="73">
        <f t="shared" si="5"/>
        <v>0</v>
      </c>
      <c r="Q9" s="87"/>
      <c r="R9" s="87"/>
      <c r="S9" s="69" t="str">
        <f t="shared" si="6"/>
        <v>X</v>
      </c>
      <c r="T9" s="73">
        <f t="shared" si="7"/>
        <v>0</v>
      </c>
      <c r="U9" s="87"/>
      <c r="V9" s="87"/>
      <c r="W9" s="69" t="str">
        <f t="shared" si="8"/>
        <v>X</v>
      </c>
      <c r="X9" s="73">
        <f t="shared" si="9"/>
        <v>0</v>
      </c>
      <c r="Y9" s="87"/>
      <c r="Z9" s="87"/>
      <c r="AA9" s="69" t="str">
        <f t="shared" si="10"/>
        <v>X</v>
      </c>
      <c r="AB9" s="73">
        <f t="shared" si="11"/>
        <v>0</v>
      </c>
      <c r="AC9" s="87"/>
      <c r="AD9" s="87"/>
      <c r="AE9" s="69" t="str">
        <f t="shared" si="12"/>
        <v>X</v>
      </c>
      <c r="AF9" s="73">
        <f t="shared" si="13"/>
        <v>0</v>
      </c>
      <c r="AG9" s="87"/>
      <c r="AH9" s="87"/>
      <c r="AI9" s="69" t="str">
        <f t="shared" si="14"/>
        <v>X</v>
      </c>
      <c r="AJ9" s="73">
        <f t="shared" si="15"/>
        <v>0</v>
      </c>
      <c r="AK9" s="87"/>
      <c r="AL9" s="87"/>
      <c r="AM9" s="69" t="str">
        <f t="shared" si="16"/>
        <v>X</v>
      </c>
      <c r="AN9" s="73">
        <f t="shared" si="17"/>
        <v>0</v>
      </c>
      <c r="AO9" s="87"/>
      <c r="AP9" s="87"/>
      <c r="AQ9" s="69" t="str">
        <f t="shared" si="18"/>
        <v>X</v>
      </c>
      <c r="AR9" s="73">
        <f t="shared" si="19"/>
        <v>0</v>
      </c>
      <c r="AS9" s="88"/>
      <c r="AT9" s="88"/>
      <c r="AU9" s="69" t="str">
        <f t="shared" si="20"/>
        <v>X</v>
      </c>
      <c r="AV9" s="73">
        <f t="shared" si="21"/>
        <v>0</v>
      </c>
      <c r="AW9" s="87"/>
      <c r="AX9" s="87"/>
      <c r="AY9" s="69" t="str">
        <f t="shared" si="22"/>
        <v>X</v>
      </c>
      <c r="AZ9" s="73">
        <f t="shared" si="23"/>
        <v>0</v>
      </c>
      <c r="BA9" s="91"/>
      <c r="BB9" s="91"/>
      <c r="BC9" s="69" t="str">
        <f t="shared" si="24"/>
        <v>X</v>
      </c>
      <c r="BD9" s="73">
        <f t="shared" si="25"/>
        <v>0</v>
      </c>
      <c r="BE9" s="87"/>
      <c r="BF9" s="87"/>
      <c r="BG9" s="69" t="str">
        <f t="shared" si="26"/>
        <v>X</v>
      </c>
      <c r="BH9" s="73">
        <f t="shared" si="27"/>
        <v>0</v>
      </c>
      <c r="BI9" s="87"/>
      <c r="BJ9" s="87"/>
      <c r="BK9" s="69" t="str">
        <f t="shared" si="28"/>
        <v>X</v>
      </c>
      <c r="BL9" s="73">
        <f t="shared" si="29"/>
        <v>0</v>
      </c>
      <c r="BM9" s="87"/>
      <c r="BN9" s="87"/>
      <c r="BO9" s="69" t="str">
        <f t="shared" si="30"/>
        <v>X</v>
      </c>
      <c r="BP9" s="73">
        <f t="shared" si="31"/>
        <v>0</v>
      </c>
      <c r="BQ9" s="87"/>
      <c r="BR9" s="87"/>
      <c r="BS9" s="69" t="str">
        <f t="shared" si="32"/>
        <v>X</v>
      </c>
      <c r="BT9" s="73">
        <f t="shared" si="33"/>
        <v>0</v>
      </c>
      <c r="BU9" s="87"/>
      <c r="BV9" s="87"/>
      <c r="BW9" s="69" t="str">
        <f t="shared" si="34"/>
        <v>X</v>
      </c>
      <c r="BX9" s="73">
        <f t="shared" si="35"/>
        <v>0</v>
      </c>
      <c r="BY9" s="87"/>
      <c r="BZ9" s="87"/>
      <c r="CA9" s="69" t="str">
        <f t="shared" si="36"/>
        <v>X</v>
      </c>
      <c r="CB9" s="73">
        <f t="shared" si="37"/>
        <v>0</v>
      </c>
      <c r="CC9" s="87"/>
      <c r="CD9" s="87"/>
      <c r="CE9" s="69" t="str">
        <f t="shared" si="38"/>
        <v>X</v>
      </c>
      <c r="CF9" s="73">
        <f t="shared" si="39"/>
        <v>0</v>
      </c>
      <c r="CG9" s="87"/>
      <c r="CH9" s="87"/>
      <c r="CI9" s="69" t="str">
        <f t="shared" si="40"/>
        <v>X</v>
      </c>
      <c r="CJ9" s="73">
        <f t="shared" si="41"/>
        <v>0</v>
      </c>
      <c r="CK9" s="88"/>
      <c r="CL9" s="88"/>
      <c r="CM9" s="69" t="str">
        <f t="shared" si="42"/>
        <v>X</v>
      </c>
      <c r="CN9" s="73">
        <f t="shared" si="43"/>
        <v>0</v>
      </c>
      <c r="CO9" s="87"/>
      <c r="CP9" s="87"/>
      <c r="CQ9" s="69" t="str">
        <f t="shared" si="44"/>
        <v>X</v>
      </c>
      <c r="CR9" s="73">
        <f t="shared" si="45"/>
        <v>0</v>
      </c>
      <c r="CS9" s="87"/>
      <c r="CT9" s="87"/>
      <c r="CU9" s="69" t="str">
        <f t="shared" si="46"/>
        <v>X</v>
      </c>
      <c r="CV9" s="73">
        <f t="shared" si="47"/>
        <v>0</v>
      </c>
      <c r="CW9" s="87"/>
      <c r="CX9" s="87"/>
      <c r="CY9" s="69" t="str">
        <f t="shared" si="48"/>
        <v>X</v>
      </c>
      <c r="CZ9" s="73">
        <f t="shared" si="49"/>
        <v>0</v>
      </c>
      <c r="DA9" s="87"/>
      <c r="DB9" s="87"/>
      <c r="DC9" s="69" t="str">
        <f t="shared" si="50"/>
        <v>X</v>
      </c>
      <c r="DD9" s="73">
        <f t="shared" si="51"/>
        <v>0</v>
      </c>
      <c r="DE9" s="87"/>
      <c r="DF9" s="87"/>
      <c r="DG9" s="69" t="str">
        <f t="shared" si="52"/>
        <v>X</v>
      </c>
      <c r="DH9" s="73">
        <f t="shared" si="53"/>
        <v>0</v>
      </c>
      <c r="DI9" s="87"/>
      <c r="DJ9" s="87"/>
      <c r="DK9" s="69" t="str">
        <f t="shared" si="54"/>
        <v>X</v>
      </c>
      <c r="DL9" s="73">
        <f t="shared" si="55"/>
        <v>0</v>
      </c>
      <c r="DM9" s="87"/>
      <c r="DN9" s="87"/>
      <c r="DO9" s="69" t="str">
        <f t="shared" si="56"/>
        <v>X</v>
      </c>
      <c r="DP9" s="73">
        <f t="shared" si="57"/>
        <v>0</v>
      </c>
    </row>
    <row r="10" spans="1:120" ht="15.75" customHeight="1">
      <c r="A10" s="130">
        <v>44723</v>
      </c>
      <c r="B10" s="131" t="s">
        <v>103</v>
      </c>
      <c r="C10" s="85" t="s">
        <v>51</v>
      </c>
      <c r="D10" s="85" t="s">
        <v>52</v>
      </c>
      <c r="E10" s="84">
        <f t="shared" si="0"/>
        <v>0</v>
      </c>
      <c r="F10" s="22"/>
      <c r="G10" s="4"/>
      <c r="H10" s="76" t="b">
        <f t="shared" si="1"/>
        <v>0</v>
      </c>
      <c r="I10" s="87">
        <v>1</v>
      </c>
      <c r="J10" s="87">
        <v>1</v>
      </c>
      <c r="K10" s="69" t="str">
        <f t="shared" si="2"/>
        <v>X</v>
      </c>
      <c r="L10" s="73">
        <f t="shared" si="3"/>
        <v>0</v>
      </c>
      <c r="M10" s="87">
        <v>2</v>
      </c>
      <c r="N10" s="87">
        <v>1</v>
      </c>
      <c r="O10" s="69" t="str">
        <f t="shared" si="4"/>
        <v>1</v>
      </c>
      <c r="P10" s="73">
        <f t="shared" si="5"/>
        <v>0</v>
      </c>
      <c r="Q10" s="87">
        <v>2</v>
      </c>
      <c r="R10" s="87">
        <v>1</v>
      </c>
      <c r="S10" s="69" t="str">
        <f t="shared" si="6"/>
        <v>1</v>
      </c>
      <c r="T10" s="73">
        <f t="shared" si="7"/>
        <v>0</v>
      </c>
      <c r="U10" s="87">
        <v>1</v>
      </c>
      <c r="V10" s="87">
        <v>0</v>
      </c>
      <c r="W10" s="69" t="str">
        <f t="shared" si="8"/>
        <v>1</v>
      </c>
      <c r="X10" s="73">
        <f t="shared" si="9"/>
        <v>0</v>
      </c>
      <c r="Y10" s="87">
        <v>1</v>
      </c>
      <c r="Z10" s="87">
        <v>1</v>
      </c>
      <c r="AA10" s="69" t="str">
        <f t="shared" si="10"/>
        <v>X</v>
      </c>
      <c r="AB10" s="73">
        <f t="shared" si="11"/>
        <v>0</v>
      </c>
      <c r="AC10" s="87">
        <v>1</v>
      </c>
      <c r="AD10" s="87">
        <v>2</v>
      </c>
      <c r="AE10" s="69" t="str">
        <f t="shared" si="12"/>
        <v>2</v>
      </c>
      <c r="AF10" s="73">
        <f t="shared" si="13"/>
        <v>0</v>
      </c>
      <c r="AG10" s="87">
        <v>2</v>
      </c>
      <c r="AH10" s="87">
        <v>2</v>
      </c>
      <c r="AI10" s="69" t="str">
        <f t="shared" si="14"/>
        <v>X</v>
      </c>
      <c r="AJ10" s="73">
        <f t="shared" si="15"/>
        <v>0</v>
      </c>
      <c r="AK10" s="87">
        <v>0</v>
      </c>
      <c r="AL10" s="87">
        <v>1</v>
      </c>
      <c r="AM10" s="69" t="str">
        <f t="shared" si="16"/>
        <v>2</v>
      </c>
      <c r="AN10" s="73">
        <f t="shared" si="17"/>
        <v>0</v>
      </c>
      <c r="AO10" s="87">
        <v>2</v>
      </c>
      <c r="AP10" s="87">
        <v>0</v>
      </c>
      <c r="AQ10" s="69" t="str">
        <f t="shared" si="18"/>
        <v>1</v>
      </c>
      <c r="AR10" s="73">
        <f t="shared" si="19"/>
        <v>0</v>
      </c>
      <c r="AS10" s="88">
        <v>2</v>
      </c>
      <c r="AT10" s="88">
        <v>0</v>
      </c>
      <c r="AU10" s="69" t="str">
        <f t="shared" si="20"/>
        <v>1</v>
      </c>
      <c r="AV10" s="73">
        <f t="shared" si="21"/>
        <v>0</v>
      </c>
      <c r="AW10" s="87">
        <v>2</v>
      </c>
      <c r="AX10" s="87">
        <v>1</v>
      </c>
      <c r="AY10" s="69" t="str">
        <f t="shared" si="22"/>
        <v>1</v>
      </c>
      <c r="AZ10" s="73">
        <f t="shared" si="23"/>
        <v>0</v>
      </c>
      <c r="BA10" s="91">
        <v>1</v>
      </c>
      <c r="BB10" s="91">
        <v>0</v>
      </c>
      <c r="BC10" s="69" t="str">
        <f t="shared" si="24"/>
        <v>1</v>
      </c>
      <c r="BD10" s="73">
        <f t="shared" si="25"/>
        <v>0</v>
      </c>
      <c r="BE10" s="87">
        <v>0</v>
      </c>
      <c r="BF10" s="87">
        <v>2</v>
      </c>
      <c r="BG10" s="69" t="str">
        <f t="shared" si="26"/>
        <v>2</v>
      </c>
      <c r="BH10" s="73">
        <f t="shared" si="27"/>
        <v>0</v>
      </c>
      <c r="BI10" s="87">
        <v>2</v>
      </c>
      <c r="BJ10" s="87">
        <v>0</v>
      </c>
      <c r="BK10" s="69" t="str">
        <f t="shared" si="28"/>
        <v>1</v>
      </c>
      <c r="BL10" s="73">
        <f t="shared" si="29"/>
        <v>0</v>
      </c>
      <c r="BM10" s="87">
        <v>2</v>
      </c>
      <c r="BN10" s="87">
        <v>1</v>
      </c>
      <c r="BO10" s="69" t="str">
        <f t="shared" si="30"/>
        <v>1</v>
      </c>
      <c r="BP10" s="73">
        <f t="shared" si="31"/>
        <v>0</v>
      </c>
      <c r="BQ10" s="87">
        <v>2</v>
      </c>
      <c r="BR10" s="87">
        <v>1</v>
      </c>
      <c r="BS10" s="69" t="str">
        <f t="shared" si="32"/>
        <v>1</v>
      </c>
      <c r="BT10" s="73">
        <f t="shared" si="33"/>
        <v>0</v>
      </c>
      <c r="BU10" s="87">
        <v>2</v>
      </c>
      <c r="BV10" s="87">
        <v>0</v>
      </c>
      <c r="BW10" s="69" t="str">
        <f t="shared" si="34"/>
        <v>1</v>
      </c>
      <c r="BX10" s="73">
        <f t="shared" si="35"/>
        <v>0</v>
      </c>
      <c r="BY10" s="87">
        <v>1</v>
      </c>
      <c r="BZ10" s="87">
        <v>0</v>
      </c>
      <c r="CA10" s="69" t="str">
        <f t="shared" si="36"/>
        <v>1</v>
      </c>
      <c r="CB10" s="73">
        <f t="shared" si="37"/>
        <v>0</v>
      </c>
      <c r="CC10" s="87">
        <v>1</v>
      </c>
      <c r="CD10" s="87">
        <v>0</v>
      </c>
      <c r="CE10" s="69" t="str">
        <f t="shared" si="38"/>
        <v>1</v>
      </c>
      <c r="CF10" s="73">
        <f t="shared" si="39"/>
        <v>0</v>
      </c>
      <c r="CG10" s="87">
        <v>2</v>
      </c>
      <c r="CH10" s="87">
        <v>0</v>
      </c>
      <c r="CI10" s="69" t="str">
        <f t="shared" si="40"/>
        <v>1</v>
      </c>
      <c r="CJ10" s="73">
        <f t="shared" si="41"/>
        <v>0</v>
      </c>
      <c r="CK10" s="88">
        <v>1</v>
      </c>
      <c r="CL10" s="88">
        <v>1</v>
      </c>
      <c r="CM10" s="69" t="str">
        <f t="shared" si="42"/>
        <v>X</v>
      </c>
      <c r="CN10" s="73">
        <f t="shared" si="43"/>
        <v>0</v>
      </c>
      <c r="CO10" s="87">
        <v>1</v>
      </c>
      <c r="CP10" s="87">
        <v>0</v>
      </c>
      <c r="CQ10" s="69" t="str">
        <f t="shared" si="44"/>
        <v>1</v>
      </c>
      <c r="CR10" s="73">
        <f t="shared" si="45"/>
        <v>0</v>
      </c>
      <c r="CS10" s="87">
        <v>1</v>
      </c>
      <c r="CT10" s="87">
        <v>0</v>
      </c>
      <c r="CU10" s="69" t="str">
        <f t="shared" si="46"/>
        <v>1</v>
      </c>
      <c r="CV10" s="73">
        <f t="shared" si="47"/>
        <v>0</v>
      </c>
      <c r="CW10" s="87">
        <v>1</v>
      </c>
      <c r="CX10" s="87">
        <v>0</v>
      </c>
      <c r="CY10" s="69" t="str">
        <f t="shared" si="48"/>
        <v>1</v>
      </c>
      <c r="CZ10" s="73">
        <f t="shared" si="49"/>
        <v>0</v>
      </c>
      <c r="DA10" s="87">
        <v>2</v>
      </c>
      <c r="DB10" s="87">
        <v>1</v>
      </c>
      <c r="DC10" s="69" t="str">
        <f t="shared" si="50"/>
        <v>1</v>
      </c>
      <c r="DD10" s="73">
        <f t="shared" si="51"/>
        <v>0</v>
      </c>
      <c r="DE10" s="87">
        <v>1</v>
      </c>
      <c r="DF10" s="87">
        <v>1</v>
      </c>
      <c r="DG10" s="69" t="str">
        <f t="shared" si="52"/>
        <v>X</v>
      </c>
      <c r="DH10" s="73">
        <f t="shared" si="53"/>
        <v>0</v>
      </c>
      <c r="DI10" s="87">
        <v>1</v>
      </c>
      <c r="DJ10" s="87">
        <v>1</v>
      </c>
      <c r="DK10" s="69" t="str">
        <f t="shared" si="54"/>
        <v>X</v>
      </c>
      <c r="DL10" s="73">
        <f t="shared" si="55"/>
        <v>0</v>
      </c>
      <c r="DM10" s="87">
        <v>2</v>
      </c>
      <c r="DN10" s="87">
        <v>2</v>
      </c>
      <c r="DO10" s="69" t="str">
        <f t="shared" si="56"/>
        <v>X</v>
      </c>
      <c r="DP10" s="73">
        <f t="shared" si="57"/>
        <v>0</v>
      </c>
    </row>
    <row r="11" spans="1:120" ht="15.75" customHeight="1">
      <c r="A11" s="130">
        <v>44724</v>
      </c>
      <c r="B11" s="131" t="s">
        <v>103</v>
      </c>
      <c r="C11" s="85" t="s">
        <v>53</v>
      </c>
      <c r="D11" s="85" t="s">
        <v>54</v>
      </c>
      <c r="E11" s="84">
        <f t="shared" si="0"/>
        <v>0</v>
      </c>
      <c r="F11" s="22"/>
      <c r="G11" s="4"/>
      <c r="H11" s="76" t="b">
        <f t="shared" si="1"/>
        <v>0</v>
      </c>
      <c r="I11" s="87">
        <v>0</v>
      </c>
      <c r="J11" s="87">
        <v>2</v>
      </c>
      <c r="K11" s="69" t="str">
        <f t="shared" si="2"/>
        <v>2</v>
      </c>
      <c r="L11" s="73">
        <f t="shared" si="3"/>
        <v>0</v>
      </c>
      <c r="M11" s="87">
        <v>0</v>
      </c>
      <c r="N11" s="87">
        <v>3</v>
      </c>
      <c r="O11" s="69" t="str">
        <f t="shared" si="4"/>
        <v>2</v>
      </c>
      <c r="P11" s="73">
        <f t="shared" si="5"/>
        <v>0</v>
      </c>
      <c r="Q11" s="87">
        <v>0</v>
      </c>
      <c r="R11" s="87">
        <v>2</v>
      </c>
      <c r="S11" s="69" t="str">
        <f t="shared" si="6"/>
        <v>2</v>
      </c>
      <c r="T11" s="73">
        <f t="shared" si="7"/>
        <v>0</v>
      </c>
      <c r="U11" s="87">
        <v>0</v>
      </c>
      <c r="V11" s="87">
        <v>2</v>
      </c>
      <c r="W11" s="69" t="str">
        <f t="shared" si="8"/>
        <v>2</v>
      </c>
      <c r="X11" s="73">
        <f t="shared" si="9"/>
        <v>0</v>
      </c>
      <c r="Y11" s="87">
        <v>1</v>
      </c>
      <c r="Z11" s="87">
        <v>4</v>
      </c>
      <c r="AA11" s="69" t="str">
        <f t="shared" si="10"/>
        <v>2</v>
      </c>
      <c r="AB11" s="73">
        <f t="shared" si="11"/>
        <v>0</v>
      </c>
      <c r="AC11" s="87">
        <v>0</v>
      </c>
      <c r="AD11" s="87">
        <v>2</v>
      </c>
      <c r="AE11" s="69" t="str">
        <f t="shared" si="12"/>
        <v>2</v>
      </c>
      <c r="AF11" s="73">
        <f t="shared" si="13"/>
        <v>0</v>
      </c>
      <c r="AG11" s="87">
        <v>0</v>
      </c>
      <c r="AH11" s="87">
        <v>2</v>
      </c>
      <c r="AI11" s="69" t="str">
        <f t="shared" si="14"/>
        <v>2</v>
      </c>
      <c r="AJ11" s="73">
        <f t="shared" si="15"/>
        <v>0</v>
      </c>
      <c r="AK11" s="87">
        <v>0</v>
      </c>
      <c r="AL11" s="87">
        <v>3</v>
      </c>
      <c r="AM11" s="69" t="str">
        <f t="shared" si="16"/>
        <v>2</v>
      </c>
      <c r="AN11" s="73">
        <f t="shared" si="17"/>
        <v>0</v>
      </c>
      <c r="AO11" s="87">
        <v>0</v>
      </c>
      <c r="AP11" s="87">
        <v>3</v>
      </c>
      <c r="AQ11" s="69" t="str">
        <f t="shared" si="18"/>
        <v>2</v>
      </c>
      <c r="AR11" s="73">
        <f t="shared" si="19"/>
        <v>0</v>
      </c>
      <c r="AS11" s="88">
        <v>0</v>
      </c>
      <c r="AT11" s="88">
        <v>3</v>
      </c>
      <c r="AU11" s="69" t="str">
        <f t="shared" si="20"/>
        <v>2</v>
      </c>
      <c r="AV11" s="73">
        <f t="shared" si="21"/>
        <v>0</v>
      </c>
      <c r="AW11" s="87">
        <v>0</v>
      </c>
      <c r="AX11" s="87">
        <v>2</v>
      </c>
      <c r="AY11" s="69" t="str">
        <f t="shared" si="22"/>
        <v>2</v>
      </c>
      <c r="AZ11" s="73">
        <f t="shared" si="23"/>
        <v>0</v>
      </c>
      <c r="BA11" s="91">
        <v>0</v>
      </c>
      <c r="BB11" s="91">
        <v>2</v>
      </c>
      <c r="BC11" s="69" t="str">
        <f t="shared" si="24"/>
        <v>2</v>
      </c>
      <c r="BD11" s="73">
        <f t="shared" si="25"/>
        <v>0</v>
      </c>
      <c r="BE11" s="87">
        <v>0</v>
      </c>
      <c r="BF11" s="87">
        <v>1</v>
      </c>
      <c r="BG11" s="69" t="str">
        <f t="shared" si="26"/>
        <v>2</v>
      </c>
      <c r="BH11" s="73">
        <f t="shared" si="27"/>
        <v>0</v>
      </c>
      <c r="BI11" s="87">
        <v>0</v>
      </c>
      <c r="BJ11" s="87">
        <v>2</v>
      </c>
      <c r="BK11" s="69" t="str">
        <f t="shared" si="28"/>
        <v>2</v>
      </c>
      <c r="BL11" s="73">
        <f t="shared" si="29"/>
        <v>0</v>
      </c>
      <c r="BM11" s="87">
        <v>0</v>
      </c>
      <c r="BN11" s="87">
        <v>2</v>
      </c>
      <c r="BO11" s="69" t="str">
        <f t="shared" si="30"/>
        <v>2</v>
      </c>
      <c r="BP11" s="73">
        <f t="shared" si="31"/>
        <v>0</v>
      </c>
      <c r="BQ11" s="87">
        <v>0</v>
      </c>
      <c r="BR11" s="87">
        <v>1</v>
      </c>
      <c r="BS11" s="69" t="str">
        <f t="shared" si="32"/>
        <v>2</v>
      </c>
      <c r="BT11" s="73">
        <f t="shared" si="33"/>
        <v>0</v>
      </c>
      <c r="BU11" s="87">
        <v>0</v>
      </c>
      <c r="BV11" s="87">
        <v>2</v>
      </c>
      <c r="BW11" s="69" t="str">
        <f t="shared" si="34"/>
        <v>2</v>
      </c>
      <c r="BX11" s="73">
        <f t="shared" si="35"/>
        <v>0</v>
      </c>
      <c r="BY11" s="87">
        <v>0</v>
      </c>
      <c r="BZ11" s="87">
        <v>3</v>
      </c>
      <c r="CA11" s="69" t="str">
        <f t="shared" si="36"/>
        <v>2</v>
      </c>
      <c r="CB11" s="73">
        <f t="shared" si="37"/>
        <v>0</v>
      </c>
      <c r="CC11" s="87">
        <v>1</v>
      </c>
      <c r="CD11" s="87">
        <v>3</v>
      </c>
      <c r="CE11" s="69" t="str">
        <f t="shared" si="38"/>
        <v>2</v>
      </c>
      <c r="CF11" s="73">
        <f t="shared" si="39"/>
        <v>0</v>
      </c>
      <c r="CG11" s="87">
        <v>0</v>
      </c>
      <c r="CH11" s="87">
        <v>2</v>
      </c>
      <c r="CI11" s="69" t="str">
        <f t="shared" si="40"/>
        <v>2</v>
      </c>
      <c r="CJ11" s="73">
        <f t="shared" si="41"/>
        <v>0</v>
      </c>
      <c r="CK11" s="88">
        <v>0</v>
      </c>
      <c r="CL11" s="88">
        <v>3</v>
      </c>
      <c r="CM11" s="69" t="str">
        <f t="shared" si="42"/>
        <v>2</v>
      </c>
      <c r="CN11" s="73">
        <f t="shared" si="43"/>
        <v>0</v>
      </c>
      <c r="CO11" s="87">
        <v>0</v>
      </c>
      <c r="CP11" s="87">
        <v>2</v>
      </c>
      <c r="CQ11" s="69" t="str">
        <f t="shared" si="44"/>
        <v>2</v>
      </c>
      <c r="CR11" s="73">
        <f t="shared" si="45"/>
        <v>0</v>
      </c>
      <c r="CS11" s="87">
        <v>0</v>
      </c>
      <c r="CT11" s="87">
        <v>2</v>
      </c>
      <c r="CU11" s="69" t="str">
        <f t="shared" si="46"/>
        <v>2</v>
      </c>
      <c r="CV11" s="73">
        <f t="shared" si="47"/>
        <v>0</v>
      </c>
      <c r="CW11" s="87">
        <v>0</v>
      </c>
      <c r="CX11" s="87">
        <v>2</v>
      </c>
      <c r="CY11" s="69" t="str">
        <f t="shared" si="48"/>
        <v>2</v>
      </c>
      <c r="CZ11" s="73">
        <f t="shared" si="49"/>
        <v>0</v>
      </c>
      <c r="DA11" s="87">
        <v>0</v>
      </c>
      <c r="DB11" s="87">
        <v>3</v>
      </c>
      <c r="DC11" s="69" t="str">
        <f t="shared" si="50"/>
        <v>2</v>
      </c>
      <c r="DD11" s="73">
        <f t="shared" si="51"/>
        <v>0</v>
      </c>
      <c r="DE11" s="87">
        <v>0</v>
      </c>
      <c r="DF11" s="87">
        <v>2</v>
      </c>
      <c r="DG11" s="69" t="str">
        <f t="shared" si="52"/>
        <v>2</v>
      </c>
      <c r="DH11" s="73">
        <f t="shared" si="53"/>
        <v>0</v>
      </c>
      <c r="DI11" s="87">
        <v>0</v>
      </c>
      <c r="DJ11" s="87">
        <v>3</v>
      </c>
      <c r="DK11" s="69" t="str">
        <f t="shared" si="54"/>
        <v>2</v>
      </c>
      <c r="DL11" s="73">
        <f t="shared" si="55"/>
        <v>0</v>
      </c>
      <c r="DM11" s="87">
        <v>0</v>
      </c>
      <c r="DN11" s="87">
        <v>2</v>
      </c>
      <c r="DO11" s="69" t="str">
        <f t="shared" si="56"/>
        <v>2</v>
      </c>
      <c r="DP11" s="73">
        <f t="shared" si="57"/>
        <v>0</v>
      </c>
    </row>
    <row r="12" spans="1:120" ht="15.75" customHeight="1">
      <c r="A12" s="130">
        <v>44729</v>
      </c>
      <c r="B12" s="131" t="s">
        <v>103</v>
      </c>
      <c r="C12" s="85" t="s">
        <v>54</v>
      </c>
      <c r="D12" s="85" t="s">
        <v>52</v>
      </c>
      <c r="E12" s="84">
        <f t="shared" si="0"/>
        <v>0</v>
      </c>
      <c r="F12" s="22"/>
      <c r="G12" s="4"/>
      <c r="H12" s="76" t="b">
        <f t="shared" si="1"/>
        <v>0</v>
      </c>
      <c r="I12" s="87">
        <v>2</v>
      </c>
      <c r="J12" s="87">
        <v>0</v>
      </c>
      <c r="K12" s="69" t="str">
        <f t="shared" si="2"/>
        <v>1</v>
      </c>
      <c r="L12" s="73">
        <f t="shared" si="3"/>
        <v>0</v>
      </c>
      <c r="M12" s="87">
        <v>2</v>
      </c>
      <c r="N12" s="87">
        <v>1</v>
      </c>
      <c r="O12" s="69" t="str">
        <f t="shared" si="4"/>
        <v>1</v>
      </c>
      <c r="P12" s="73">
        <f t="shared" si="5"/>
        <v>0</v>
      </c>
      <c r="Q12" s="87">
        <v>2</v>
      </c>
      <c r="R12" s="87">
        <v>1</v>
      </c>
      <c r="S12" s="69" t="str">
        <f t="shared" si="6"/>
        <v>1</v>
      </c>
      <c r="T12" s="73">
        <f t="shared" si="7"/>
        <v>0</v>
      </c>
      <c r="U12" s="87">
        <v>1</v>
      </c>
      <c r="V12" s="87">
        <v>1</v>
      </c>
      <c r="W12" s="69" t="str">
        <f t="shared" si="8"/>
        <v>X</v>
      </c>
      <c r="X12" s="73">
        <f t="shared" si="9"/>
        <v>0</v>
      </c>
      <c r="Y12" s="87">
        <v>2</v>
      </c>
      <c r="Z12" s="87">
        <v>0</v>
      </c>
      <c r="AA12" s="69" t="str">
        <f t="shared" si="10"/>
        <v>1</v>
      </c>
      <c r="AB12" s="73">
        <f t="shared" si="11"/>
        <v>0</v>
      </c>
      <c r="AC12" s="87">
        <v>1</v>
      </c>
      <c r="AD12" s="87">
        <v>1</v>
      </c>
      <c r="AE12" s="69" t="str">
        <f t="shared" si="12"/>
        <v>X</v>
      </c>
      <c r="AF12" s="73">
        <f t="shared" si="13"/>
        <v>0</v>
      </c>
      <c r="AG12" s="87">
        <v>1</v>
      </c>
      <c r="AH12" s="87">
        <v>0</v>
      </c>
      <c r="AI12" s="69" t="str">
        <f t="shared" si="14"/>
        <v>1</v>
      </c>
      <c r="AJ12" s="73">
        <f t="shared" si="15"/>
        <v>0</v>
      </c>
      <c r="AK12" s="87">
        <v>1</v>
      </c>
      <c r="AL12" s="87">
        <v>1</v>
      </c>
      <c r="AM12" s="69" t="str">
        <f t="shared" si="16"/>
        <v>X</v>
      </c>
      <c r="AN12" s="73">
        <f t="shared" si="17"/>
        <v>0</v>
      </c>
      <c r="AO12" s="87">
        <v>2</v>
      </c>
      <c r="AP12" s="87">
        <v>0</v>
      </c>
      <c r="AQ12" s="69" t="str">
        <f t="shared" si="18"/>
        <v>1</v>
      </c>
      <c r="AR12" s="73">
        <f t="shared" si="19"/>
        <v>0</v>
      </c>
      <c r="AS12" s="88">
        <v>1</v>
      </c>
      <c r="AT12" s="88">
        <v>1</v>
      </c>
      <c r="AU12" s="69" t="str">
        <f t="shared" si="20"/>
        <v>X</v>
      </c>
      <c r="AV12" s="73">
        <f t="shared" si="21"/>
        <v>0</v>
      </c>
      <c r="AW12" s="87">
        <v>2</v>
      </c>
      <c r="AX12" s="87">
        <v>0</v>
      </c>
      <c r="AY12" s="69" t="str">
        <f t="shared" si="22"/>
        <v>1</v>
      </c>
      <c r="AZ12" s="73">
        <f t="shared" si="23"/>
        <v>0</v>
      </c>
      <c r="BA12" s="91">
        <v>3</v>
      </c>
      <c r="BB12" s="91">
        <v>1</v>
      </c>
      <c r="BC12" s="69" t="str">
        <f t="shared" si="24"/>
        <v>1</v>
      </c>
      <c r="BD12" s="73">
        <f t="shared" si="25"/>
        <v>0</v>
      </c>
      <c r="BE12" s="87">
        <v>1</v>
      </c>
      <c r="BF12" s="87">
        <v>1</v>
      </c>
      <c r="BG12" s="69" t="str">
        <f t="shared" si="26"/>
        <v>X</v>
      </c>
      <c r="BH12" s="73">
        <f t="shared" si="27"/>
        <v>0</v>
      </c>
      <c r="BI12" s="87">
        <v>3</v>
      </c>
      <c r="BJ12" s="87">
        <v>0</v>
      </c>
      <c r="BK12" s="69" t="str">
        <f t="shared" si="28"/>
        <v>1</v>
      </c>
      <c r="BL12" s="73">
        <f t="shared" si="29"/>
        <v>0</v>
      </c>
      <c r="BM12" s="87">
        <v>2</v>
      </c>
      <c r="BN12" s="87">
        <v>0</v>
      </c>
      <c r="BO12" s="69" t="str">
        <f t="shared" si="30"/>
        <v>1</v>
      </c>
      <c r="BP12" s="73">
        <f t="shared" si="31"/>
        <v>0</v>
      </c>
      <c r="BQ12" s="87">
        <v>2</v>
      </c>
      <c r="BR12" s="87">
        <v>1</v>
      </c>
      <c r="BS12" s="69" t="str">
        <f t="shared" si="32"/>
        <v>1</v>
      </c>
      <c r="BT12" s="73">
        <f t="shared" si="33"/>
        <v>0</v>
      </c>
      <c r="BU12" s="87">
        <v>1</v>
      </c>
      <c r="BV12" s="87">
        <v>1</v>
      </c>
      <c r="BW12" s="69" t="str">
        <f t="shared" si="34"/>
        <v>X</v>
      </c>
      <c r="BX12" s="73">
        <f t="shared" si="35"/>
        <v>0</v>
      </c>
      <c r="BY12" s="87">
        <v>2</v>
      </c>
      <c r="BZ12" s="87">
        <v>0</v>
      </c>
      <c r="CA12" s="69" t="str">
        <f t="shared" si="36"/>
        <v>1</v>
      </c>
      <c r="CB12" s="73">
        <f t="shared" si="37"/>
        <v>0</v>
      </c>
      <c r="CC12" s="87">
        <v>2</v>
      </c>
      <c r="CD12" s="87">
        <v>1</v>
      </c>
      <c r="CE12" s="69" t="str">
        <f t="shared" si="38"/>
        <v>1</v>
      </c>
      <c r="CF12" s="73">
        <f t="shared" si="39"/>
        <v>0</v>
      </c>
      <c r="CG12" s="87">
        <v>2</v>
      </c>
      <c r="CH12" s="87">
        <v>1</v>
      </c>
      <c r="CI12" s="69" t="str">
        <f t="shared" si="40"/>
        <v>1</v>
      </c>
      <c r="CJ12" s="73">
        <f t="shared" si="41"/>
        <v>0</v>
      </c>
      <c r="CK12" s="88">
        <v>2</v>
      </c>
      <c r="CL12" s="88">
        <v>0</v>
      </c>
      <c r="CM12" s="69" t="str">
        <f t="shared" si="42"/>
        <v>1</v>
      </c>
      <c r="CN12" s="73">
        <f t="shared" si="43"/>
        <v>0</v>
      </c>
      <c r="CO12" s="87">
        <v>2</v>
      </c>
      <c r="CP12" s="87">
        <v>0</v>
      </c>
      <c r="CQ12" s="69" t="str">
        <f t="shared" si="44"/>
        <v>1</v>
      </c>
      <c r="CR12" s="73">
        <f t="shared" si="45"/>
        <v>0</v>
      </c>
      <c r="CS12" s="87">
        <v>2</v>
      </c>
      <c r="CT12" s="87">
        <v>1</v>
      </c>
      <c r="CU12" s="69" t="str">
        <f t="shared" si="46"/>
        <v>1</v>
      </c>
      <c r="CV12" s="73">
        <f t="shared" si="47"/>
        <v>0</v>
      </c>
      <c r="CW12" s="87">
        <v>1</v>
      </c>
      <c r="CX12" s="87">
        <v>1</v>
      </c>
      <c r="CY12" s="69" t="str">
        <f t="shared" si="48"/>
        <v>X</v>
      </c>
      <c r="CZ12" s="73">
        <f t="shared" si="49"/>
        <v>0</v>
      </c>
      <c r="DA12" s="87">
        <v>2</v>
      </c>
      <c r="DB12" s="87">
        <v>1</v>
      </c>
      <c r="DC12" s="69" t="str">
        <f t="shared" si="50"/>
        <v>1</v>
      </c>
      <c r="DD12" s="73">
        <f t="shared" si="51"/>
        <v>0</v>
      </c>
      <c r="DE12" s="87">
        <v>1</v>
      </c>
      <c r="DF12" s="87">
        <v>0</v>
      </c>
      <c r="DG12" s="69" t="str">
        <f t="shared" si="52"/>
        <v>1</v>
      </c>
      <c r="DH12" s="73">
        <f t="shared" si="53"/>
        <v>0</v>
      </c>
      <c r="DI12" s="87">
        <v>2</v>
      </c>
      <c r="DJ12" s="87">
        <v>0</v>
      </c>
      <c r="DK12" s="69" t="str">
        <f t="shared" si="54"/>
        <v>1</v>
      </c>
      <c r="DL12" s="73">
        <f t="shared" si="55"/>
        <v>0</v>
      </c>
      <c r="DM12" s="87">
        <v>3</v>
      </c>
      <c r="DN12" s="87">
        <v>1</v>
      </c>
      <c r="DO12" s="69" t="str">
        <f t="shared" si="56"/>
        <v>1</v>
      </c>
      <c r="DP12" s="73">
        <f t="shared" si="57"/>
        <v>0</v>
      </c>
    </row>
    <row r="13" spans="1:120" ht="15.75" customHeight="1">
      <c r="A13" s="130">
        <v>44730</v>
      </c>
      <c r="B13" s="131" t="s">
        <v>107</v>
      </c>
      <c r="C13" s="85" t="s">
        <v>51</v>
      </c>
      <c r="D13" s="85" t="s">
        <v>53</v>
      </c>
      <c r="E13" s="84">
        <f t="shared" si="0"/>
        <v>0</v>
      </c>
      <c r="F13" s="22"/>
      <c r="G13" s="4"/>
      <c r="H13" s="76" t="b">
        <f t="shared" si="1"/>
        <v>0</v>
      </c>
      <c r="I13" s="87">
        <v>2</v>
      </c>
      <c r="J13" s="87">
        <v>0</v>
      </c>
      <c r="K13" s="69" t="str">
        <f t="shared" si="2"/>
        <v>1</v>
      </c>
      <c r="L13" s="73">
        <f t="shared" si="3"/>
        <v>0</v>
      </c>
      <c r="M13" s="87">
        <v>2</v>
      </c>
      <c r="N13" s="87">
        <v>0</v>
      </c>
      <c r="O13" s="69" t="str">
        <f t="shared" si="4"/>
        <v>1</v>
      </c>
      <c r="P13" s="73">
        <f t="shared" si="5"/>
        <v>0</v>
      </c>
      <c r="Q13" s="87">
        <v>2</v>
      </c>
      <c r="R13" s="87">
        <v>0</v>
      </c>
      <c r="S13" s="69" t="str">
        <f t="shared" si="6"/>
        <v>1</v>
      </c>
      <c r="T13" s="73">
        <f t="shared" si="7"/>
        <v>0</v>
      </c>
      <c r="U13" s="87">
        <v>2</v>
      </c>
      <c r="V13" s="87">
        <v>0</v>
      </c>
      <c r="W13" s="69" t="str">
        <f t="shared" si="8"/>
        <v>1</v>
      </c>
      <c r="X13" s="73">
        <f t="shared" si="9"/>
        <v>0</v>
      </c>
      <c r="Y13" s="87">
        <v>0</v>
      </c>
      <c r="Z13" s="87">
        <v>0</v>
      </c>
      <c r="AA13" s="69" t="str">
        <f t="shared" si="10"/>
        <v>X</v>
      </c>
      <c r="AB13" s="73">
        <f t="shared" si="11"/>
        <v>0</v>
      </c>
      <c r="AC13" s="87">
        <v>2</v>
      </c>
      <c r="AD13" s="87">
        <v>0</v>
      </c>
      <c r="AE13" s="69" t="str">
        <f t="shared" si="12"/>
        <v>1</v>
      </c>
      <c r="AF13" s="73">
        <f t="shared" si="13"/>
        <v>0</v>
      </c>
      <c r="AG13" s="87">
        <v>2</v>
      </c>
      <c r="AH13" s="87">
        <v>0</v>
      </c>
      <c r="AI13" s="69" t="str">
        <f t="shared" si="14"/>
        <v>1</v>
      </c>
      <c r="AJ13" s="73">
        <f t="shared" si="15"/>
        <v>0</v>
      </c>
      <c r="AK13" s="87">
        <v>2</v>
      </c>
      <c r="AL13" s="87">
        <v>0</v>
      </c>
      <c r="AM13" s="69" t="str">
        <f t="shared" si="16"/>
        <v>1</v>
      </c>
      <c r="AN13" s="73">
        <f t="shared" si="17"/>
        <v>0</v>
      </c>
      <c r="AO13" s="87">
        <v>3</v>
      </c>
      <c r="AP13" s="87">
        <v>0</v>
      </c>
      <c r="AQ13" s="69" t="str">
        <f t="shared" si="18"/>
        <v>1</v>
      </c>
      <c r="AR13" s="73">
        <f t="shared" si="19"/>
        <v>0</v>
      </c>
      <c r="AS13" s="88">
        <v>2</v>
      </c>
      <c r="AT13" s="88">
        <v>0</v>
      </c>
      <c r="AU13" s="69" t="str">
        <f t="shared" si="20"/>
        <v>1</v>
      </c>
      <c r="AV13" s="73">
        <f t="shared" si="21"/>
        <v>0</v>
      </c>
      <c r="AW13" s="87">
        <v>2</v>
      </c>
      <c r="AX13" s="87">
        <v>0</v>
      </c>
      <c r="AY13" s="69" t="str">
        <f t="shared" si="22"/>
        <v>1</v>
      </c>
      <c r="AZ13" s="73">
        <f t="shared" si="23"/>
        <v>0</v>
      </c>
      <c r="BA13" s="91">
        <v>2</v>
      </c>
      <c r="BB13" s="91">
        <v>0</v>
      </c>
      <c r="BC13" s="69" t="str">
        <f t="shared" si="24"/>
        <v>1</v>
      </c>
      <c r="BD13" s="73">
        <f t="shared" si="25"/>
        <v>0</v>
      </c>
      <c r="BE13" s="87">
        <v>2</v>
      </c>
      <c r="BF13" s="87">
        <v>0</v>
      </c>
      <c r="BG13" s="69" t="str">
        <f t="shared" si="26"/>
        <v>1</v>
      </c>
      <c r="BH13" s="73">
        <f t="shared" si="27"/>
        <v>0</v>
      </c>
      <c r="BI13" s="87">
        <v>3</v>
      </c>
      <c r="BJ13" s="87">
        <v>0</v>
      </c>
      <c r="BK13" s="69" t="str">
        <f t="shared" si="28"/>
        <v>1</v>
      </c>
      <c r="BL13" s="73">
        <f t="shared" si="29"/>
        <v>0</v>
      </c>
      <c r="BM13" s="87">
        <v>1</v>
      </c>
      <c r="BN13" s="87">
        <v>0</v>
      </c>
      <c r="BO13" s="69" t="str">
        <f t="shared" si="30"/>
        <v>1</v>
      </c>
      <c r="BP13" s="73">
        <f t="shared" si="31"/>
        <v>0</v>
      </c>
      <c r="BQ13" s="87">
        <v>2</v>
      </c>
      <c r="BR13" s="87">
        <v>1</v>
      </c>
      <c r="BS13" s="69" t="str">
        <f t="shared" si="32"/>
        <v>1</v>
      </c>
      <c r="BT13" s="73">
        <f t="shared" si="33"/>
        <v>0</v>
      </c>
      <c r="BU13" s="87">
        <v>3</v>
      </c>
      <c r="BV13" s="87">
        <v>1</v>
      </c>
      <c r="BW13" s="69" t="str">
        <f t="shared" si="34"/>
        <v>1</v>
      </c>
      <c r="BX13" s="73">
        <f t="shared" si="35"/>
        <v>0</v>
      </c>
      <c r="BY13" s="87">
        <v>2</v>
      </c>
      <c r="BZ13" s="87">
        <v>0</v>
      </c>
      <c r="CA13" s="69" t="str">
        <f t="shared" si="36"/>
        <v>1</v>
      </c>
      <c r="CB13" s="73">
        <f t="shared" si="37"/>
        <v>0</v>
      </c>
      <c r="CC13" s="87">
        <v>2</v>
      </c>
      <c r="CD13" s="87">
        <v>0</v>
      </c>
      <c r="CE13" s="69" t="str">
        <f t="shared" si="38"/>
        <v>1</v>
      </c>
      <c r="CF13" s="73">
        <f t="shared" si="39"/>
        <v>0</v>
      </c>
      <c r="CG13" s="87">
        <v>2</v>
      </c>
      <c r="CH13" s="87">
        <v>1</v>
      </c>
      <c r="CI13" s="69" t="str">
        <f t="shared" si="40"/>
        <v>1</v>
      </c>
      <c r="CJ13" s="73">
        <f t="shared" si="41"/>
        <v>0</v>
      </c>
      <c r="CK13" s="88">
        <v>2</v>
      </c>
      <c r="CL13" s="88">
        <v>1</v>
      </c>
      <c r="CM13" s="69" t="str">
        <f t="shared" si="42"/>
        <v>1</v>
      </c>
      <c r="CN13" s="73">
        <f t="shared" si="43"/>
        <v>0</v>
      </c>
      <c r="CO13" s="87">
        <v>3</v>
      </c>
      <c r="CP13" s="87">
        <v>0</v>
      </c>
      <c r="CQ13" s="69" t="str">
        <f t="shared" si="44"/>
        <v>1</v>
      </c>
      <c r="CR13" s="73">
        <f t="shared" si="45"/>
        <v>0</v>
      </c>
      <c r="CS13" s="87">
        <v>2</v>
      </c>
      <c r="CT13" s="87">
        <v>0</v>
      </c>
      <c r="CU13" s="69" t="str">
        <f t="shared" si="46"/>
        <v>1</v>
      </c>
      <c r="CV13" s="73">
        <f t="shared" si="47"/>
        <v>0</v>
      </c>
      <c r="CW13" s="87">
        <v>2</v>
      </c>
      <c r="CX13" s="87">
        <v>0</v>
      </c>
      <c r="CY13" s="69" t="str">
        <f t="shared" si="48"/>
        <v>1</v>
      </c>
      <c r="CZ13" s="73">
        <f t="shared" si="49"/>
        <v>0</v>
      </c>
      <c r="DA13" s="87">
        <v>1</v>
      </c>
      <c r="DB13" s="87">
        <v>0</v>
      </c>
      <c r="DC13" s="69" t="str">
        <f t="shared" si="50"/>
        <v>1</v>
      </c>
      <c r="DD13" s="73">
        <f t="shared" si="51"/>
        <v>0</v>
      </c>
      <c r="DE13" s="87">
        <v>2</v>
      </c>
      <c r="DF13" s="87">
        <v>1</v>
      </c>
      <c r="DG13" s="69" t="str">
        <f t="shared" si="52"/>
        <v>1</v>
      </c>
      <c r="DH13" s="73">
        <f t="shared" si="53"/>
        <v>0</v>
      </c>
      <c r="DI13" s="87">
        <v>3</v>
      </c>
      <c r="DJ13" s="87">
        <v>1</v>
      </c>
      <c r="DK13" s="69" t="str">
        <f t="shared" si="54"/>
        <v>1</v>
      </c>
      <c r="DL13" s="73">
        <f t="shared" si="55"/>
        <v>0</v>
      </c>
      <c r="DM13" s="87">
        <v>2</v>
      </c>
      <c r="DN13" s="87">
        <v>0</v>
      </c>
      <c r="DO13" s="69" t="str">
        <f t="shared" si="56"/>
        <v>1</v>
      </c>
      <c r="DP13" s="73">
        <f t="shared" si="57"/>
        <v>0</v>
      </c>
    </row>
    <row r="14" spans="1:120" ht="15.75" customHeight="1">
      <c r="A14" s="130">
        <v>44735</v>
      </c>
      <c r="B14" s="131" t="s">
        <v>103</v>
      </c>
      <c r="C14" s="85" t="s">
        <v>54</v>
      </c>
      <c r="D14" s="85" t="s">
        <v>51</v>
      </c>
      <c r="E14" s="84">
        <f t="shared" si="0"/>
        <v>0</v>
      </c>
      <c r="F14" s="22"/>
      <c r="G14" s="4"/>
      <c r="H14" s="76" t="b">
        <f t="shared" si="1"/>
        <v>0</v>
      </c>
      <c r="I14" s="87"/>
      <c r="J14" s="87"/>
      <c r="K14" s="69" t="str">
        <f t="shared" si="2"/>
        <v>X</v>
      </c>
      <c r="L14" s="73">
        <f t="shared" si="3"/>
        <v>0</v>
      </c>
      <c r="M14" s="87"/>
      <c r="N14" s="87"/>
      <c r="O14" s="69" t="str">
        <f t="shared" si="4"/>
        <v>X</v>
      </c>
      <c r="P14" s="73">
        <f t="shared" si="5"/>
        <v>0</v>
      </c>
      <c r="Q14" s="87"/>
      <c r="R14" s="87"/>
      <c r="S14" s="69" t="str">
        <f t="shared" si="6"/>
        <v>X</v>
      </c>
      <c r="T14" s="73">
        <f t="shared" si="7"/>
        <v>0</v>
      </c>
      <c r="U14" s="87"/>
      <c r="V14" s="87"/>
      <c r="W14" s="69" t="str">
        <f t="shared" si="8"/>
        <v>X</v>
      </c>
      <c r="X14" s="73">
        <f t="shared" si="9"/>
        <v>0</v>
      </c>
      <c r="Y14" s="87"/>
      <c r="Z14" s="87"/>
      <c r="AA14" s="69" t="str">
        <f t="shared" si="10"/>
        <v>X</v>
      </c>
      <c r="AB14" s="73">
        <f t="shared" si="11"/>
        <v>0</v>
      </c>
      <c r="AC14" s="87"/>
      <c r="AD14" s="87"/>
      <c r="AE14" s="69" t="str">
        <f t="shared" si="12"/>
        <v>X</v>
      </c>
      <c r="AF14" s="73">
        <f t="shared" si="13"/>
        <v>0</v>
      </c>
      <c r="AG14" s="87"/>
      <c r="AH14" s="87"/>
      <c r="AI14" s="69" t="str">
        <f t="shared" si="14"/>
        <v>X</v>
      </c>
      <c r="AJ14" s="73">
        <f t="shared" si="15"/>
        <v>0</v>
      </c>
      <c r="AK14" s="87"/>
      <c r="AL14" s="87"/>
      <c r="AM14" s="69" t="str">
        <f t="shared" si="16"/>
        <v>X</v>
      </c>
      <c r="AN14" s="73">
        <f t="shared" si="17"/>
        <v>0</v>
      </c>
      <c r="AO14" s="87"/>
      <c r="AP14" s="87"/>
      <c r="AQ14" s="69" t="str">
        <f t="shared" si="18"/>
        <v>X</v>
      </c>
      <c r="AR14" s="73">
        <f t="shared" si="19"/>
        <v>0</v>
      </c>
      <c r="AS14" s="88"/>
      <c r="AT14" s="88"/>
      <c r="AU14" s="69" t="str">
        <f t="shared" si="20"/>
        <v>X</v>
      </c>
      <c r="AV14" s="73">
        <f t="shared" si="21"/>
        <v>0</v>
      </c>
      <c r="AW14" s="87"/>
      <c r="AX14" s="87"/>
      <c r="AY14" s="69" t="str">
        <f t="shared" si="22"/>
        <v>X</v>
      </c>
      <c r="AZ14" s="73">
        <f t="shared" si="23"/>
        <v>0</v>
      </c>
      <c r="BA14" s="91"/>
      <c r="BB14" s="91"/>
      <c r="BC14" s="69" t="str">
        <f t="shared" si="24"/>
        <v>X</v>
      </c>
      <c r="BD14" s="73">
        <f t="shared" si="25"/>
        <v>0</v>
      </c>
      <c r="BE14" s="87"/>
      <c r="BF14" s="87"/>
      <c r="BG14" s="69" t="str">
        <f t="shared" si="26"/>
        <v>X</v>
      </c>
      <c r="BH14" s="73">
        <f t="shared" si="27"/>
        <v>0</v>
      </c>
      <c r="BI14" s="87"/>
      <c r="BJ14" s="87"/>
      <c r="BK14" s="69" t="str">
        <f t="shared" si="28"/>
        <v>X</v>
      </c>
      <c r="BL14" s="73">
        <f t="shared" si="29"/>
        <v>0</v>
      </c>
      <c r="BM14" s="87"/>
      <c r="BN14" s="87"/>
      <c r="BO14" s="69" t="str">
        <f t="shared" si="30"/>
        <v>X</v>
      </c>
      <c r="BP14" s="73">
        <f t="shared" si="31"/>
        <v>0</v>
      </c>
      <c r="BQ14" s="87"/>
      <c r="BR14" s="87"/>
      <c r="BS14" s="69" t="str">
        <f t="shared" si="32"/>
        <v>X</v>
      </c>
      <c r="BT14" s="73">
        <f t="shared" si="33"/>
        <v>0</v>
      </c>
      <c r="BU14" s="87"/>
      <c r="BV14" s="87"/>
      <c r="BW14" s="69" t="str">
        <f t="shared" si="34"/>
        <v>X</v>
      </c>
      <c r="BX14" s="73">
        <f t="shared" si="35"/>
        <v>0</v>
      </c>
      <c r="BY14" s="87"/>
      <c r="BZ14" s="87"/>
      <c r="CA14" s="69" t="str">
        <f t="shared" si="36"/>
        <v>X</v>
      </c>
      <c r="CB14" s="73">
        <f t="shared" si="37"/>
        <v>0</v>
      </c>
      <c r="CC14" s="87"/>
      <c r="CD14" s="87"/>
      <c r="CE14" s="69" t="str">
        <f t="shared" si="38"/>
        <v>X</v>
      </c>
      <c r="CF14" s="73">
        <f t="shared" si="39"/>
        <v>0</v>
      </c>
      <c r="CG14" s="87"/>
      <c r="CH14" s="87"/>
      <c r="CI14" s="69" t="str">
        <f t="shared" si="40"/>
        <v>X</v>
      </c>
      <c r="CJ14" s="73">
        <f t="shared" si="41"/>
        <v>0</v>
      </c>
      <c r="CK14" s="88"/>
      <c r="CL14" s="88"/>
      <c r="CM14" s="69" t="str">
        <f t="shared" si="42"/>
        <v>X</v>
      </c>
      <c r="CN14" s="73">
        <f t="shared" si="43"/>
        <v>0</v>
      </c>
      <c r="CO14" s="87"/>
      <c r="CP14" s="87"/>
      <c r="CQ14" s="69" t="str">
        <f t="shared" si="44"/>
        <v>X</v>
      </c>
      <c r="CR14" s="73">
        <f t="shared" si="45"/>
        <v>0</v>
      </c>
      <c r="CS14" s="87"/>
      <c r="CT14" s="87"/>
      <c r="CU14" s="69" t="str">
        <f t="shared" si="46"/>
        <v>X</v>
      </c>
      <c r="CV14" s="73">
        <f t="shared" si="47"/>
        <v>0</v>
      </c>
      <c r="CW14" s="87"/>
      <c r="CX14" s="87"/>
      <c r="CY14" s="69" t="str">
        <f t="shared" si="48"/>
        <v>X</v>
      </c>
      <c r="CZ14" s="73">
        <f t="shared" si="49"/>
        <v>0</v>
      </c>
      <c r="DA14" s="87"/>
      <c r="DB14" s="87"/>
      <c r="DC14" s="69" t="str">
        <f t="shared" si="50"/>
        <v>X</v>
      </c>
      <c r="DD14" s="73">
        <f t="shared" si="51"/>
        <v>0</v>
      </c>
      <c r="DE14" s="87"/>
      <c r="DF14" s="87"/>
      <c r="DG14" s="69" t="str">
        <f t="shared" si="52"/>
        <v>X</v>
      </c>
      <c r="DH14" s="73">
        <f t="shared" si="53"/>
        <v>0</v>
      </c>
      <c r="DI14" s="87"/>
      <c r="DJ14" s="87"/>
      <c r="DK14" s="69" t="str">
        <f t="shared" si="54"/>
        <v>X</v>
      </c>
      <c r="DL14" s="73">
        <f t="shared" si="55"/>
        <v>0</v>
      </c>
      <c r="DM14" s="87"/>
      <c r="DN14" s="87"/>
      <c r="DO14" s="69" t="str">
        <f t="shared" si="56"/>
        <v>X</v>
      </c>
      <c r="DP14" s="73">
        <f t="shared" si="57"/>
        <v>0</v>
      </c>
    </row>
    <row r="15" spans="1:120" ht="15.75" customHeight="1">
      <c r="A15" s="130">
        <v>44735</v>
      </c>
      <c r="B15" s="131" t="s">
        <v>103</v>
      </c>
      <c r="C15" s="85" t="s">
        <v>52</v>
      </c>
      <c r="D15" s="85" t="s">
        <v>53</v>
      </c>
      <c r="E15" s="84">
        <f t="shared" si="0"/>
        <v>0</v>
      </c>
      <c r="F15" s="22"/>
      <c r="G15" s="4"/>
      <c r="H15" s="76" t="b">
        <f t="shared" si="1"/>
        <v>0</v>
      </c>
      <c r="I15" s="87"/>
      <c r="J15" s="87"/>
      <c r="K15" s="69" t="str">
        <f t="shared" si="2"/>
        <v>X</v>
      </c>
      <c r="L15" s="73">
        <f t="shared" si="3"/>
        <v>0</v>
      </c>
      <c r="M15" s="87"/>
      <c r="N15" s="87"/>
      <c r="O15" s="69" t="str">
        <f t="shared" si="4"/>
        <v>X</v>
      </c>
      <c r="P15" s="73">
        <f t="shared" si="5"/>
        <v>0</v>
      </c>
      <c r="Q15" s="87"/>
      <c r="R15" s="87"/>
      <c r="S15" s="69" t="str">
        <f t="shared" si="6"/>
        <v>X</v>
      </c>
      <c r="T15" s="73">
        <f t="shared" si="7"/>
        <v>0</v>
      </c>
      <c r="U15" s="87"/>
      <c r="V15" s="87"/>
      <c r="W15" s="69" t="str">
        <f t="shared" si="8"/>
        <v>X</v>
      </c>
      <c r="X15" s="73">
        <f t="shared" si="9"/>
        <v>0</v>
      </c>
      <c r="Y15" s="87"/>
      <c r="Z15" s="87"/>
      <c r="AA15" s="69" t="str">
        <f t="shared" si="10"/>
        <v>X</v>
      </c>
      <c r="AB15" s="73">
        <f t="shared" si="11"/>
        <v>0</v>
      </c>
      <c r="AC15" s="87"/>
      <c r="AD15" s="87"/>
      <c r="AE15" s="69" t="str">
        <f t="shared" si="12"/>
        <v>X</v>
      </c>
      <c r="AF15" s="73">
        <f t="shared" si="13"/>
        <v>0</v>
      </c>
      <c r="AG15" s="87"/>
      <c r="AH15" s="87"/>
      <c r="AI15" s="69" t="str">
        <f t="shared" si="14"/>
        <v>X</v>
      </c>
      <c r="AJ15" s="73">
        <f t="shared" si="15"/>
        <v>0</v>
      </c>
      <c r="AK15" s="87"/>
      <c r="AL15" s="87"/>
      <c r="AM15" s="69" t="str">
        <f t="shared" si="16"/>
        <v>X</v>
      </c>
      <c r="AN15" s="73">
        <f t="shared" si="17"/>
        <v>0</v>
      </c>
      <c r="AO15" s="87"/>
      <c r="AP15" s="87"/>
      <c r="AQ15" s="69" t="str">
        <f t="shared" si="18"/>
        <v>X</v>
      </c>
      <c r="AR15" s="73">
        <f t="shared" si="19"/>
        <v>0</v>
      </c>
      <c r="AS15" s="88"/>
      <c r="AT15" s="88"/>
      <c r="AU15" s="69" t="str">
        <f t="shared" si="20"/>
        <v>X</v>
      </c>
      <c r="AV15" s="73">
        <f t="shared" si="21"/>
        <v>0</v>
      </c>
      <c r="AW15" s="87"/>
      <c r="AX15" s="87"/>
      <c r="AY15" s="69" t="str">
        <f t="shared" si="22"/>
        <v>X</v>
      </c>
      <c r="AZ15" s="73">
        <f t="shared" si="23"/>
        <v>0</v>
      </c>
      <c r="BA15" s="91"/>
      <c r="BB15" s="91"/>
      <c r="BC15" s="69" t="str">
        <f t="shared" si="24"/>
        <v>X</v>
      </c>
      <c r="BD15" s="73">
        <f t="shared" si="25"/>
        <v>0</v>
      </c>
      <c r="BE15" s="87"/>
      <c r="BF15" s="87"/>
      <c r="BG15" s="69" t="str">
        <f t="shared" si="26"/>
        <v>X</v>
      </c>
      <c r="BH15" s="73">
        <f t="shared" si="27"/>
        <v>0</v>
      </c>
      <c r="BI15" s="87"/>
      <c r="BJ15" s="87"/>
      <c r="BK15" s="69" t="str">
        <f t="shared" si="28"/>
        <v>X</v>
      </c>
      <c r="BL15" s="73">
        <f t="shared" si="29"/>
        <v>0</v>
      </c>
      <c r="BM15" s="87"/>
      <c r="BN15" s="87"/>
      <c r="BO15" s="69" t="str">
        <f t="shared" si="30"/>
        <v>X</v>
      </c>
      <c r="BP15" s="73">
        <f t="shared" si="31"/>
        <v>0</v>
      </c>
      <c r="BQ15" s="87"/>
      <c r="BR15" s="87"/>
      <c r="BS15" s="69" t="str">
        <f t="shared" si="32"/>
        <v>X</v>
      </c>
      <c r="BT15" s="73">
        <f t="shared" si="33"/>
        <v>0</v>
      </c>
      <c r="BU15" s="87"/>
      <c r="BV15" s="87"/>
      <c r="BW15" s="69" t="str">
        <f t="shared" si="34"/>
        <v>X</v>
      </c>
      <c r="BX15" s="73">
        <f t="shared" si="35"/>
        <v>0</v>
      </c>
      <c r="BY15" s="87"/>
      <c r="BZ15" s="87"/>
      <c r="CA15" s="69" t="str">
        <f t="shared" si="36"/>
        <v>X</v>
      </c>
      <c r="CB15" s="73">
        <f t="shared" si="37"/>
        <v>0</v>
      </c>
      <c r="CC15" s="87"/>
      <c r="CD15" s="87"/>
      <c r="CE15" s="69" t="str">
        <f t="shared" si="38"/>
        <v>X</v>
      </c>
      <c r="CF15" s="73">
        <f t="shared" si="39"/>
        <v>0</v>
      </c>
      <c r="CG15" s="87"/>
      <c r="CH15" s="87"/>
      <c r="CI15" s="69" t="str">
        <f t="shared" si="40"/>
        <v>X</v>
      </c>
      <c r="CJ15" s="73">
        <f t="shared" si="41"/>
        <v>0</v>
      </c>
      <c r="CK15" s="88"/>
      <c r="CL15" s="88"/>
      <c r="CM15" s="69" t="str">
        <f t="shared" si="42"/>
        <v>X</v>
      </c>
      <c r="CN15" s="73">
        <f t="shared" si="43"/>
        <v>0</v>
      </c>
      <c r="CO15" s="87"/>
      <c r="CP15" s="87"/>
      <c r="CQ15" s="69" t="str">
        <f t="shared" si="44"/>
        <v>X</v>
      </c>
      <c r="CR15" s="73">
        <f t="shared" si="45"/>
        <v>0</v>
      </c>
      <c r="CS15" s="87"/>
      <c r="CT15" s="87"/>
      <c r="CU15" s="69" t="str">
        <f t="shared" si="46"/>
        <v>X</v>
      </c>
      <c r="CV15" s="73">
        <f t="shared" si="47"/>
        <v>0</v>
      </c>
      <c r="CW15" s="87"/>
      <c r="CX15" s="87"/>
      <c r="CY15" s="69" t="str">
        <f t="shared" si="48"/>
        <v>X</v>
      </c>
      <c r="CZ15" s="73">
        <f t="shared" si="49"/>
        <v>0</v>
      </c>
      <c r="DA15" s="87"/>
      <c r="DB15" s="87"/>
      <c r="DC15" s="69" t="str">
        <f t="shared" si="50"/>
        <v>X</v>
      </c>
      <c r="DD15" s="73">
        <f t="shared" si="51"/>
        <v>0</v>
      </c>
      <c r="DE15" s="87"/>
      <c r="DF15" s="87"/>
      <c r="DG15" s="69" t="str">
        <f t="shared" si="52"/>
        <v>X</v>
      </c>
      <c r="DH15" s="73">
        <f t="shared" si="53"/>
        <v>0</v>
      </c>
      <c r="DI15" s="87"/>
      <c r="DJ15" s="87"/>
      <c r="DK15" s="69" t="str">
        <f t="shared" si="54"/>
        <v>X</v>
      </c>
      <c r="DL15" s="73">
        <f t="shared" si="55"/>
        <v>0</v>
      </c>
      <c r="DM15" s="87"/>
      <c r="DN15" s="87"/>
      <c r="DO15" s="69" t="str">
        <f t="shared" si="56"/>
        <v>X</v>
      </c>
      <c r="DP15" s="73">
        <f t="shared" si="57"/>
        <v>0</v>
      </c>
    </row>
    <row r="16" spans="1:120" ht="15.75" customHeight="1">
      <c r="A16" s="130">
        <v>44725</v>
      </c>
      <c r="B16" s="131" t="s">
        <v>107</v>
      </c>
      <c r="C16" s="85" t="s">
        <v>55</v>
      </c>
      <c r="D16" s="85" t="s">
        <v>56</v>
      </c>
      <c r="E16" s="84">
        <f t="shared" si="0"/>
        <v>0</v>
      </c>
      <c r="F16" s="22"/>
      <c r="G16" s="4"/>
      <c r="H16" s="76" t="b">
        <f t="shared" si="1"/>
        <v>0</v>
      </c>
      <c r="I16" s="87">
        <v>2</v>
      </c>
      <c r="J16" s="87">
        <v>1</v>
      </c>
      <c r="K16" s="69" t="str">
        <f t="shared" si="2"/>
        <v>1</v>
      </c>
      <c r="L16" s="73">
        <f t="shared" si="3"/>
        <v>0</v>
      </c>
      <c r="M16" s="87">
        <v>1</v>
      </c>
      <c r="N16" s="87">
        <v>1</v>
      </c>
      <c r="O16" s="69" t="str">
        <f t="shared" si="4"/>
        <v>X</v>
      </c>
      <c r="P16" s="73">
        <f t="shared" si="5"/>
        <v>0</v>
      </c>
      <c r="Q16" s="87">
        <v>2</v>
      </c>
      <c r="R16" s="87">
        <v>1</v>
      </c>
      <c r="S16" s="69" t="str">
        <f t="shared" si="6"/>
        <v>1</v>
      </c>
      <c r="T16" s="73">
        <f t="shared" si="7"/>
        <v>0</v>
      </c>
      <c r="U16" s="87">
        <v>2</v>
      </c>
      <c r="V16" s="87">
        <v>1</v>
      </c>
      <c r="W16" s="69" t="str">
        <f t="shared" si="8"/>
        <v>1</v>
      </c>
      <c r="X16" s="73">
        <f t="shared" si="9"/>
        <v>0</v>
      </c>
      <c r="Y16" s="87">
        <v>2</v>
      </c>
      <c r="Z16" s="87">
        <v>1</v>
      </c>
      <c r="AA16" s="69" t="str">
        <f t="shared" si="10"/>
        <v>1</v>
      </c>
      <c r="AB16" s="73">
        <f t="shared" si="11"/>
        <v>0</v>
      </c>
      <c r="AC16" s="87">
        <v>2</v>
      </c>
      <c r="AD16" s="87">
        <v>1</v>
      </c>
      <c r="AE16" s="69" t="str">
        <f t="shared" si="12"/>
        <v>1</v>
      </c>
      <c r="AF16" s="73">
        <f t="shared" si="13"/>
        <v>0</v>
      </c>
      <c r="AG16" s="87">
        <v>3</v>
      </c>
      <c r="AH16" s="87">
        <v>1</v>
      </c>
      <c r="AI16" s="69" t="str">
        <f t="shared" si="14"/>
        <v>1</v>
      </c>
      <c r="AJ16" s="73">
        <f t="shared" si="15"/>
        <v>0</v>
      </c>
      <c r="AK16" s="87">
        <v>1</v>
      </c>
      <c r="AL16" s="87">
        <v>1</v>
      </c>
      <c r="AM16" s="69" t="str">
        <f t="shared" si="16"/>
        <v>X</v>
      </c>
      <c r="AN16" s="73">
        <f t="shared" si="17"/>
        <v>0</v>
      </c>
      <c r="AO16" s="87">
        <v>3</v>
      </c>
      <c r="AP16" s="87">
        <v>1</v>
      </c>
      <c r="AQ16" s="69" t="str">
        <f t="shared" si="18"/>
        <v>1</v>
      </c>
      <c r="AR16" s="73">
        <f t="shared" si="19"/>
        <v>0</v>
      </c>
      <c r="AS16" s="88">
        <v>3</v>
      </c>
      <c r="AT16" s="88">
        <v>1</v>
      </c>
      <c r="AU16" s="69" t="str">
        <f t="shared" si="20"/>
        <v>1</v>
      </c>
      <c r="AV16" s="73">
        <f t="shared" si="21"/>
        <v>0</v>
      </c>
      <c r="AW16" s="87">
        <v>2</v>
      </c>
      <c r="AX16" s="87">
        <v>0</v>
      </c>
      <c r="AY16" s="69" t="str">
        <f t="shared" si="22"/>
        <v>1</v>
      </c>
      <c r="AZ16" s="73">
        <f t="shared" si="23"/>
        <v>0</v>
      </c>
      <c r="BA16" s="91">
        <v>1</v>
      </c>
      <c r="BB16" s="91">
        <v>0</v>
      </c>
      <c r="BC16" s="69" t="str">
        <f t="shared" si="24"/>
        <v>1</v>
      </c>
      <c r="BD16" s="73">
        <f t="shared" si="25"/>
        <v>0</v>
      </c>
      <c r="BE16" s="87">
        <v>2</v>
      </c>
      <c r="BF16" s="87">
        <v>1</v>
      </c>
      <c r="BG16" s="69" t="str">
        <f t="shared" si="26"/>
        <v>1</v>
      </c>
      <c r="BH16" s="73">
        <f t="shared" si="27"/>
        <v>0</v>
      </c>
      <c r="BI16" s="87">
        <v>2</v>
      </c>
      <c r="BJ16" s="87">
        <v>1</v>
      </c>
      <c r="BK16" s="69" t="str">
        <f t="shared" si="28"/>
        <v>1</v>
      </c>
      <c r="BL16" s="73">
        <f t="shared" si="29"/>
        <v>0</v>
      </c>
      <c r="BM16" s="87">
        <v>2</v>
      </c>
      <c r="BN16" s="87">
        <v>0</v>
      </c>
      <c r="BO16" s="69" t="str">
        <f t="shared" si="30"/>
        <v>1</v>
      </c>
      <c r="BP16" s="73">
        <f t="shared" si="31"/>
        <v>0</v>
      </c>
      <c r="BQ16" s="87">
        <v>2</v>
      </c>
      <c r="BR16" s="87">
        <v>2</v>
      </c>
      <c r="BS16" s="69" t="str">
        <f t="shared" si="32"/>
        <v>X</v>
      </c>
      <c r="BT16" s="73">
        <f t="shared" si="33"/>
        <v>0</v>
      </c>
      <c r="BU16" s="87">
        <v>2</v>
      </c>
      <c r="BV16" s="87">
        <v>1</v>
      </c>
      <c r="BW16" s="69" t="str">
        <f t="shared" si="34"/>
        <v>1</v>
      </c>
      <c r="BX16" s="73">
        <f t="shared" si="35"/>
        <v>0</v>
      </c>
      <c r="BY16" s="87">
        <v>0</v>
      </c>
      <c r="BZ16" s="87">
        <v>0</v>
      </c>
      <c r="CA16" s="69" t="str">
        <f t="shared" si="36"/>
        <v>X</v>
      </c>
      <c r="CB16" s="73">
        <f t="shared" si="37"/>
        <v>0</v>
      </c>
      <c r="CC16" s="87">
        <v>2</v>
      </c>
      <c r="CD16" s="87">
        <v>1</v>
      </c>
      <c r="CE16" s="69" t="str">
        <f t="shared" si="38"/>
        <v>1</v>
      </c>
      <c r="CF16" s="73">
        <f t="shared" si="39"/>
        <v>0</v>
      </c>
      <c r="CG16" s="87">
        <v>3</v>
      </c>
      <c r="CH16" s="87">
        <v>1</v>
      </c>
      <c r="CI16" s="69" t="str">
        <f t="shared" si="40"/>
        <v>1</v>
      </c>
      <c r="CJ16" s="73">
        <f t="shared" si="41"/>
        <v>0</v>
      </c>
      <c r="CK16" s="88">
        <v>1</v>
      </c>
      <c r="CL16" s="88">
        <v>1</v>
      </c>
      <c r="CM16" s="69" t="str">
        <f t="shared" si="42"/>
        <v>X</v>
      </c>
      <c r="CN16" s="73">
        <f t="shared" si="43"/>
        <v>0</v>
      </c>
      <c r="CO16" s="87">
        <v>1</v>
      </c>
      <c r="CP16" s="87">
        <v>1</v>
      </c>
      <c r="CQ16" s="69" t="str">
        <f t="shared" si="44"/>
        <v>X</v>
      </c>
      <c r="CR16" s="73">
        <f t="shared" si="45"/>
        <v>0</v>
      </c>
      <c r="CS16" s="87">
        <v>2</v>
      </c>
      <c r="CT16" s="87">
        <v>1</v>
      </c>
      <c r="CU16" s="69" t="str">
        <f t="shared" si="46"/>
        <v>1</v>
      </c>
      <c r="CV16" s="73">
        <f t="shared" si="47"/>
        <v>0</v>
      </c>
      <c r="CW16" s="87">
        <v>2</v>
      </c>
      <c r="CX16" s="87">
        <v>1</v>
      </c>
      <c r="CY16" s="69" t="str">
        <f t="shared" si="48"/>
        <v>1</v>
      </c>
      <c r="CZ16" s="73">
        <f t="shared" si="49"/>
        <v>0</v>
      </c>
      <c r="DA16" s="87">
        <v>2</v>
      </c>
      <c r="DB16" s="87">
        <v>1</v>
      </c>
      <c r="DC16" s="69" t="str">
        <f t="shared" si="50"/>
        <v>1</v>
      </c>
      <c r="DD16" s="73">
        <f t="shared" si="51"/>
        <v>0</v>
      </c>
      <c r="DE16" s="87">
        <v>2</v>
      </c>
      <c r="DF16" s="87">
        <v>0</v>
      </c>
      <c r="DG16" s="69" t="str">
        <f t="shared" si="52"/>
        <v>1</v>
      </c>
      <c r="DH16" s="73">
        <f t="shared" si="53"/>
        <v>0</v>
      </c>
      <c r="DI16" s="87">
        <v>1</v>
      </c>
      <c r="DJ16" s="87">
        <v>0</v>
      </c>
      <c r="DK16" s="69" t="str">
        <f t="shared" si="54"/>
        <v>1</v>
      </c>
      <c r="DL16" s="73">
        <f t="shared" si="55"/>
        <v>0</v>
      </c>
      <c r="DM16" s="87">
        <v>1</v>
      </c>
      <c r="DN16" s="87">
        <v>1</v>
      </c>
      <c r="DO16" s="69" t="str">
        <f t="shared" si="56"/>
        <v>X</v>
      </c>
      <c r="DP16" s="73">
        <f t="shared" si="57"/>
        <v>0</v>
      </c>
    </row>
    <row r="17" spans="1:120" ht="15.75" customHeight="1">
      <c r="A17" s="130">
        <v>44725</v>
      </c>
      <c r="B17" s="131" t="s">
        <v>106</v>
      </c>
      <c r="C17" s="85" t="s">
        <v>57</v>
      </c>
      <c r="D17" s="85" t="s">
        <v>58</v>
      </c>
      <c r="E17" s="84">
        <f t="shared" si="0"/>
        <v>0</v>
      </c>
      <c r="F17" s="22"/>
      <c r="G17" s="4"/>
      <c r="H17" s="76" t="b">
        <f t="shared" si="1"/>
        <v>0</v>
      </c>
      <c r="I17" s="87">
        <v>0</v>
      </c>
      <c r="J17" s="87">
        <v>3</v>
      </c>
      <c r="K17" s="69" t="str">
        <f t="shared" si="2"/>
        <v>2</v>
      </c>
      <c r="L17" s="73">
        <f t="shared" si="3"/>
        <v>0</v>
      </c>
      <c r="M17" s="87">
        <v>1</v>
      </c>
      <c r="N17" s="87">
        <v>3</v>
      </c>
      <c r="O17" s="69" t="str">
        <f t="shared" si="4"/>
        <v>2</v>
      </c>
      <c r="P17" s="73">
        <f t="shared" si="5"/>
        <v>0</v>
      </c>
      <c r="Q17" s="87">
        <v>0</v>
      </c>
      <c r="R17" s="87">
        <v>3</v>
      </c>
      <c r="S17" s="69" t="str">
        <f t="shared" si="6"/>
        <v>2</v>
      </c>
      <c r="T17" s="73">
        <f t="shared" si="7"/>
        <v>0</v>
      </c>
      <c r="U17" s="87">
        <v>1</v>
      </c>
      <c r="V17" s="87">
        <v>2</v>
      </c>
      <c r="W17" s="69" t="str">
        <f t="shared" si="8"/>
        <v>2</v>
      </c>
      <c r="X17" s="73">
        <f t="shared" si="9"/>
        <v>0</v>
      </c>
      <c r="Y17" s="87">
        <v>0</v>
      </c>
      <c r="Z17" s="87">
        <v>3</v>
      </c>
      <c r="AA17" s="69" t="str">
        <f t="shared" si="10"/>
        <v>2</v>
      </c>
      <c r="AB17" s="73">
        <f t="shared" si="11"/>
        <v>0</v>
      </c>
      <c r="AC17" s="87">
        <v>0</v>
      </c>
      <c r="AD17" s="87">
        <v>2</v>
      </c>
      <c r="AE17" s="69" t="str">
        <f t="shared" si="12"/>
        <v>2</v>
      </c>
      <c r="AF17" s="73">
        <f t="shared" si="13"/>
        <v>0</v>
      </c>
      <c r="AG17" s="87">
        <v>0</v>
      </c>
      <c r="AH17" s="87">
        <v>3</v>
      </c>
      <c r="AI17" s="69" t="str">
        <f t="shared" si="14"/>
        <v>2</v>
      </c>
      <c r="AJ17" s="73">
        <f t="shared" si="15"/>
        <v>0</v>
      </c>
      <c r="AK17" s="87">
        <v>0</v>
      </c>
      <c r="AL17" s="87">
        <v>2</v>
      </c>
      <c r="AM17" s="69" t="str">
        <f t="shared" si="16"/>
        <v>2</v>
      </c>
      <c r="AN17" s="73">
        <f t="shared" si="17"/>
        <v>0</v>
      </c>
      <c r="AO17" s="87">
        <v>0</v>
      </c>
      <c r="AP17" s="87">
        <v>2</v>
      </c>
      <c r="AQ17" s="69" t="str">
        <f t="shared" si="18"/>
        <v>2</v>
      </c>
      <c r="AR17" s="73">
        <f t="shared" si="19"/>
        <v>0</v>
      </c>
      <c r="AS17" s="88">
        <v>0</v>
      </c>
      <c r="AT17" s="88">
        <v>3</v>
      </c>
      <c r="AU17" s="69" t="str">
        <f t="shared" si="20"/>
        <v>2</v>
      </c>
      <c r="AV17" s="73">
        <f t="shared" si="21"/>
        <v>0</v>
      </c>
      <c r="AW17" s="87">
        <v>0</v>
      </c>
      <c r="AX17" s="87">
        <v>2</v>
      </c>
      <c r="AY17" s="69" t="str">
        <f t="shared" si="22"/>
        <v>2</v>
      </c>
      <c r="AZ17" s="73">
        <f t="shared" si="23"/>
        <v>0</v>
      </c>
      <c r="BA17" s="91">
        <v>0</v>
      </c>
      <c r="BB17" s="91">
        <v>1</v>
      </c>
      <c r="BC17" s="69" t="str">
        <f t="shared" si="24"/>
        <v>2</v>
      </c>
      <c r="BD17" s="73">
        <f t="shared" si="25"/>
        <v>0</v>
      </c>
      <c r="BE17" s="87">
        <v>0</v>
      </c>
      <c r="BF17" s="87">
        <v>2</v>
      </c>
      <c r="BG17" s="69" t="str">
        <f t="shared" si="26"/>
        <v>2</v>
      </c>
      <c r="BH17" s="73">
        <f t="shared" si="27"/>
        <v>0</v>
      </c>
      <c r="BI17" s="87">
        <v>0</v>
      </c>
      <c r="BJ17" s="87">
        <v>1</v>
      </c>
      <c r="BK17" s="69" t="str">
        <f t="shared" si="28"/>
        <v>2</v>
      </c>
      <c r="BL17" s="73">
        <f t="shared" si="29"/>
        <v>0</v>
      </c>
      <c r="BM17" s="87">
        <v>0</v>
      </c>
      <c r="BN17" s="87">
        <v>2</v>
      </c>
      <c r="BO17" s="69" t="str">
        <f t="shared" si="30"/>
        <v>2</v>
      </c>
      <c r="BP17" s="73">
        <f t="shared" si="31"/>
        <v>0</v>
      </c>
      <c r="BQ17" s="87">
        <v>1</v>
      </c>
      <c r="BR17" s="87">
        <v>3</v>
      </c>
      <c r="BS17" s="69" t="str">
        <f t="shared" si="32"/>
        <v>2</v>
      </c>
      <c r="BT17" s="73">
        <f t="shared" si="33"/>
        <v>0</v>
      </c>
      <c r="BU17" s="87">
        <v>0</v>
      </c>
      <c r="BV17" s="87">
        <v>2</v>
      </c>
      <c r="BW17" s="69" t="str">
        <f t="shared" si="34"/>
        <v>2</v>
      </c>
      <c r="BX17" s="73">
        <f t="shared" si="35"/>
        <v>0</v>
      </c>
      <c r="BY17" s="87">
        <v>0</v>
      </c>
      <c r="BZ17" s="87">
        <v>1</v>
      </c>
      <c r="CA17" s="69" t="str">
        <f t="shared" si="36"/>
        <v>2</v>
      </c>
      <c r="CB17" s="73">
        <f t="shared" si="37"/>
        <v>0</v>
      </c>
      <c r="CC17" s="87">
        <v>0</v>
      </c>
      <c r="CD17" s="87">
        <v>2</v>
      </c>
      <c r="CE17" s="69" t="str">
        <f t="shared" si="38"/>
        <v>2</v>
      </c>
      <c r="CF17" s="73">
        <f t="shared" si="39"/>
        <v>0</v>
      </c>
      <c r="CG17" s="87">
        <v>0</v>
      </c>
      <c r="CH17" s="87">
        <v>2</v>
      </c>
      <c r="CI17" s="69" t="str">
        <f t="shared" si="40"/>
        <v>2</v>
      </c>
      <c r="CJ17" s="73">
        <f t="shared" si="41"/>
        <v>0</v>
      </c>
      <c r="CK17" s="88">
        <v>1</v>
      </c>
      <c r="CL17" s="88">
        <v>2</v>
      </c>
      <c r="CM17" s="69" t="str">
        <f t="shared" si="42"/>
        <v>2</v>
      </c>
      <c r="CN17" s="73">
        <f t="shared" si="43"/>
        <v>0</v>
      </c>
      <c r="CO17" s="87">
        <v>0</v>
      </c>
      <c r="CP17" s="87">
        <v>2</v>
      </c>
      <c r="CQ17" s="69" t="str">
        <f t="shared" si="44"/>
        <v>2</v>
      </c>
      <c r="CR17" s="73">
        <f t="shared" si="45"/>
        <v>0</v>
      </c>
      <c r="CS17" s="87">
        <v>0</v>
      </c>
      <c r="CT17" s="87">
        <v>2</v>
      </c>
      <c r="CU17" s="69" t="str">
        <f t="shared" si="46"/>
        <v>2</v>
      </c>
      <c r="CV17" s="73">
        <f t="shared" si="47"/>
        <v>0</v>
      </c>
      <c r="CW17" s="87">
        <v>0</v>
      </c>
      <c r="CX17" s="87">
        <v>2</v>
      </c>
      <c r="CY17" s="69" t="str">
        <f t="shared" si="48"/>
        <v>2</v>
      </c>
      <c r="CZ17" s="73">
        <f t="shared" si="49"/>
        <v>0</v>
      </c>
      <c r="DA17" s="87">
        <v>1</v>
      </c>
      <c r="DB17" s="87">
        <v>1</v>
      </c>
      <c r="DC17" s="69" t="str">
        <f t="shared" si="50"/>
        <v>X</v>
      </c>
      <c r="DD17" s="73">
        <f t="shared" si="51"/>
        <v>0</v>
      </c>
      <c r="DE17" s="87">
        <v>1</v>
      </c>
      <c r="DF17" s="87">
        <v>2</v>
      </c>
      <c r="DG17" s="69" t="str">
        <f t="shared" si="52"/>
        <v>2</v>
      </c>
      <c r="DH17" s="73">
        <f t="shared" si="53"/>
        <v>0</v>
      </c>
      <c r="DI17" s="87">
        <v>1</v>
      </c>
      <c r="DJ17" s="87">
        <v>3</v>
      </c>
      <c r="DK17" s="69" t="str">
        <f t="shared" si="54"/>
        <v>2</v>
      </c>
      <c r="DL17" s="73">
        <f t="shared" si="55"/>
        <v>0</v>
      </c>
      <c r="DM17" s="87">
        <v>0</v>
      </c>
      <c r="DN17" s="87">
        <v>0</v>
      </c>
      <c r="DO17" s="69" t="str">
        <f t="shared" si="56"/>
        <v>X</v>
      </c>
      <c r="DP17" s="73">
        <f t="shared" si="57"/>
        <v>0</v>
      </c>
    </row>
    <row r="18" spans="1:120" ht="15.75" customHeight="1">
      <c r="A18" s="130">
        <v>44731</v>
      </c>
      <c r="B18" s="131" t="s">
        <v>107</v>
      </c>
      <c r="C18" s="85" t="s">
        <v>58</v>
      </c>
      <c r="D18" s="85" t="s">
        <v>56</v>
      </c>
      <c r="E18" s="84">
        <f t="shared" si="0"/>
        <v>0</v>
      </c>
      <c r="F18" s="22"/>
      <c r="G18" s="4"/>
      <c r="H18" s="76" t="b">
        <f t="shared" si="1"/>
        <v>0</v>
      </c>
      <c r="I18" s="87">
        <v>1</v>
      </c>
      <c r="J18" s="87">
        <v>2</v>
      </c>
      <c r="K18" s="69" t="str">
        <f t="shared" si="2"/>
        <v>2</v>
      </c>
      <c r="L18" s="73">
        <f t="shared" si="3"/>
        <v>0</v>
      </c>
      <c r="M18" s="87">
        <v>1</v>
      </c>
      <c r="N18" s="87">
        <v>2</v>
      </c>
      <c r="O18" s="69" t="str">
        <f t="shared" si="4"/>
        <v>2</v>
      </c>
      <c r="P18" s="73">
        <f t="shared" si="5"/>
        <v>0</v>
      </c>
      <c r="Q18" s="87">
        <v>0</v>
      </c>
      <c r="R18" s="87">
        <v>1</v>
      </c>
      <c r="S18" s="69" t="str">
        <f t="shared" si="6"/>
        <v>2</v>
      </c>
      <c r="T18" s="73">
        <f t="shared" si="7"/>
        <v>0</v>
      </c>
      <c r="U18" s="87">
        <v>1</v>
      </c>
      <c r="V18" s="87">
        <v>1</v>
      </c>
      <c r="W18" s="69" t="str">
        <f t="shared" si="8"/>
        <v>X</v>
      </c>
      <c r="X18" s="73">
        <f t="shared" si="9"/>
        <v>0</v>
      </c>
      <c r="Y18" s="87">
        <v>2</v>
      </c>
      <c r="Z18" s="87">
        <v>2</v>
      </c>
      <c r="AA18" s="69" t="str">
        <f t="shared" si="10"/>
        <v>X</v>
      </c>
      <c r="AB18" s="73">
        <f t="shared" si="11"/>
        <v>0</v>
      </c>
      <c r="AC18" s="87">
        <v>1</v>
      </c>
      <c r="AD18" s="87">
        <v>1</v>
      </c>
      <c r="AE18" s="69" t="str">
        <f t="shared" si="12"/>
        <v>X</v>
      </c>
      <c r="AF18" s="73">
        <f t="shared" si="13"/>
        <v>0</v>
      </c>
      <c r="AG18" s="87">
        <v>1</v>
      </c>
      <c r="AH18" s="87">
        <v>1</v>
      </c>
      <c r="AI18" s="69" t="str">
        <f t="shared" si="14"/>
        <v>X</v>
      </c>
      <c r="AJ18" s="73">
        <f t="shared" si="15"/>
        <v>0</v>
      </c>
      <c r="AK18" s="87">
        <v>1</v>
      </c>
      <c r="AL18" s="87">
        <v>2</v>
      </c>
      <c r="AM18" s="69" t="str">
        <f t="shared" si="16"/>
        <v>2</v>
      </c>
      <c r="AN18" s="73">
        <f t="shared" si="17"/>
        <v>0</v>
      </c>
      <c r="AO18" s="87">
        <v>1</v>
      </c>
      <c r="AP18" s="87">
        <v>1</v>
      </c>
      <c r="AQ18" s="69" t="str">
        <f t="shared" si="18"/>
        <v>X</v>
      </c>
      <c r="AR18" s="73">
        <f t="shared" si="19"/>
        <v>0</v>
      </c>
      <c r="AS18" s="88">
        <v>0</v>
      </c>
      <c r="AT18" s="88">
        <v>2</v>
      </c>
      <c r="AU18" s="69" t="str">
        <f t="shared" si="20"/>
        <v>2</v>
      </c>
      <c r="AV18" s="73">
        <f t="shared" si="21"/>
        <v>0</v>
      </c>
      <c r="AW18" s="87">
        <v>1</v>
      </c>
      <c r="AX18" s="87">
        <v>1</v>
      </c>
      <c r="AY18" s="69" t="str">
        <f t="shared" si="22"/>
        <v>X</v>
      </c>
      <c r="AZ18" s="73">
        <f t="shared" si="23"/>
        <v>0</v>
      </c>
      <c r="BA18" s="91">
        <v>1</v>
      </c>
      <c r="BB18" s="91">
        <v>1</v>
      </c>
      <c r="BC18" s="69" t="str">
        <f t="shared" si="24"/>
        <v>X</v>
      </c>
      <c r="BD18" s="73">
        <f t="shared" si="25"/>
        <v>0</v>
      </c>
      <c r="BE18" s="87">
        <v>1</v>
      </c>
      <c r="BF18" s="87">
        <v>2</v>
      </c>
      <c r="BG18" s="69" t="str">
        <f t="shared" si="26"/>
        <v>2</v>
      </c>
      <c r="BH18" s="73">
        <f t="shared" si="27"/>
        <v>0</v>
      </c>
      <c r="BI18" s="87">
        <v>1</v>
      </c>
      <c r="BJ18" s="87">
        <v>1</v>
      </c>
      <c r="BK18" s="69" t="str">
        <f t="shared" si="28"/>
        <v>X</v>
      </c>
      <c r="BL18" s="73">
        <f t="shared" si="29"/>
        <v>0</v>
      </c>
      <c r="BM18" s="87">
        <v>2</v>
      </c>
      <c r="BN18" s="87">
        <v>1</v>
      </c>
      <c r="BO18" s="69" t="str">
        <f t="shared" si="30"/>
        <v>1</v>
      </c>
      <c r="BP18" s="73">
        <f t="shared" si="31"/>
        <v>0</v>
      </c>
      <c r="BQ18" s="87">
        <v>1</v>
      </c>
      <c r="BR18" s="87">
        <v>2</v>
      </c>
      <c r="BS18" s="69" t="str">
        <f t="shared" si="32"/>
        <v>2</v>
      </c>
      <c r="BT18" s="73">
        <f t="shared" si="33"/>
        <v>0</v>
      </c>
      <c r="BU18" s="87">
        <v>1</v>
      </c>
      <c r="BV18" s="87">
        <v>1</v>
      </c>
      <c r="BW18" s="69" t="str">
        <f t="shared" si="34"/>
        <v>X</v>
      </c>
      <c r="BX18" s="73">
        <f t="shared" si="35"/>
        <v>0</v>
      </c>
      <c r="BY18" s="87">
        <v>0</v>
      </c>
      <c r="BZ18" s="87">
        <v>2</v>
      </c>
      <c r="CA18" s="69" t="str">
        <f t="shared" si="36"/>
        <v>2</v>
      </c>
      <c r="CB18" s="73">
        <f t="shared" si="37"/>
        <v>0</v>
      </c>
      <c r="CC18" s="87">
        <v>1</v>
      </c>
      <c r="CD18" s="87">
        <v>2</v>
      </c>
      <c r="CE18" s="69" t="str">
        <f t="shared" si="38"/>
        <v>2</v>
      </c>
      <c r="CF18" s="73">
        <f t="shared" si="39"/>
        <v>0</v>
      </c>
      <c r="CG18" s="87">
        <v>1</v>
      </c>
      <c r="CH18" s="87">
        <v>1</v>
      </c>
      <c r="CI18" s="69" t="str">
        <f t="shared" si="40"/>
        <v>X</v>
      </c>
      <c r="CJ18" s="73">
        <f t="shared" si="41"/>
        <v>0</v>
      </c>
      <c r="CK18" s="88">
        <v>0</v>
      </c>
      <c r="CL18" s="88">
        <v>1</v>
      </c>
      <c r="CM18" s="69" t="str">
        <f t="shared" si="42"/>
        <v>2</v>
      </c>
      <c r="CN18" s="73">
        <f t="shared" si="43"/>
        <v>0</v>
      </c>
      <c r="CO18" s="87">
        <v>0</v>
      </c>
      <c r="CP18" s="87">
        <v>1</v>
      </c>
      <c r="CQ18" s="69" t="str">
        <f t="shared" si="44"/>
        <v>2</v>
      </c>
      <c r="CR18" s="73">
        <f t="shared" si="45"/>
        <v>0</v>
      </c>
      <c r="CS18" s="87">
        <v>0</v>
      </c>
      <c r="CT18" s="87">
        <v>1</v>
      </c>
      <c r="CU18" s="69" t="str">
        <f t="shared" si="46"/>
        <v>2</v>
      </c>
      <c r="CV18" s="73">
        <f t="shared" si="47"/>
        <v>0</v>
      </c>
      <c r="CW18" s="87">
        <v>1</v>
      </c>
      <c r="CX18" s="87">
        <v>2</v>
      </c>
      <c r="CY18" s="69" t="str">
        <f t="shared" si="48"/>
        <v>2</v>
      </c>
      <c r="CZ18" s="73">
        <f t="shared" si="49"/>
        <v>0</v>
      </c>
      <c r="DA18" s="87">
        <v>1</v>
      </c>
      <c r="DB18" s="87">
        <v>2</v>
      </c>
      <c r="DC18" s="69" t="str">
        <f t="shared" si="50"/>
        <v>2</v>
      </c>
      <c r="DD18" s="73">
        <f t="shared" si="51"/>
        <v>0</v>
      </c>
      <c r="DE18" s="87">
        <v>1</v>
      </c>
      <c r="DF18" s="87">
        <v>0</v>
      </c>
      <c r="DG18" s="69" t="str">
        <f t="shared" si="52"/>
        <v>1</v>
      </c>
      <c r="DH18" s="73">
        <f t="shared" si="53"/>
        <v>0</v>
      </c>
      <c r="DI18" s="87">
        <v>0</v>
      </c>
      <c r="DJ18" s="87">
        <v>2</v>
      </c>
      <c r="DK18" s="69" t="str">
        <f t="shared" si="54"/>
        <v>2</v>
      </c>
      <c r="DL18" s="73">
        <f t="shared" si="55"/>
        <v>0</v>
      </c>
      <c r="DM18" s="87">
        <v>0</v>
      </c>
      <c r="DN18" s="87">
        <v>2</v>
      </c>
      <c r="DO18" s="69" t="str">
        <f t="shared" si="56"/>
        <v>2</v>
      </c>
      <c r="DP18" s="73">
        <f t="shared" si="57"/>
        <v>0</v>
      </c>
    </row>
    <row r="19" spans="1:120" ht="15.75" customHeight="1">
      <c r="A19" s="130">
        <v>44731</v>
      </c>
      <c r="B19" s="131" t="s">
        <v>108</v>
      </c>
      <c r="C19" s="85" t="s">
        <v>55</v>
      </c>
      <c r="D19" s="85" t="s">
        <v>57</v>
      </c>
      <c r="E19" s="84">
        <f t="shared" si="0"/>
        <v>0</v>
      </c>
      <c r="F19" s="22"/>
      <c r="G19" s="4"/>
      <c r="H19" s="76" t="b">
        <f t="shared" si="1"/>
        <v>0</v>
      </c>
      <c r="I19" s="87">
        <v>5</v>
      </c>
      <c r="J19" s="87">
        <v>0</v>
      </c>
      <c r="K19" s="69" t="str">
        <f t="shared" si="2"/>
        <v>1</v>
      </c>
      <c r="L19" s="73">
        <f t="shared" si="3"/>
        <v>0</v>
      </c>
      <c r="M19" s="87">
        <v>3</v>
      </c>
      <c r="N19" s="87">
        <v>0</v>
      </c>
      <c r="O19" s="69" t="str">
        <f t="shared" si="4"/>
        <v>1</v>
      </c>
      <c r="P19" s="73">
        <f t="shared" si="5"/>
        <v>0</v>
      </c>
      <c r="Q19" s="87">
        <v>3</v>
      </c>
      <c r="R19" s="87">
        <v>0</v>
      </c>
      <c r="S19" s="69" t="str">
        <f t="shared" si="6"/>
        <v>1</v>
      </c>
      <c r="T19" s="73">
        <f t="shared" si="7"/>
        <v>0</v>
      </c>
      <c r="U19" s="87">
        <v>3</v>
      </c>
      <c r="V19" s="87">
        <v>0</v>
      </c>
      <c r="W19" s="69" t="str">
        <f t="shared" si="8"/>
        <v>1</v>
      </c>
      <c r="X19" s="73">
        <f t="shared" si="9"/>
        <v>0</v>
      </c>
      <c r="Y19" s="87">
        <v>2</v>
      </c>
      <c r="Z19" s="87">
        <v>0</v>
      </c>
      <c r="AA19" s="69" t="str">
        <f t="shared" si="10"/>
        <v>1</v>
      </c>
      <c r="AB19" s="73">
        <f t="shared" si="11"/>
        <v>0</v>
      </c>
      <c r="AC19" s="87">
        <v>3</v>
      </c>
      <c r="AD19" s="87">
        <v>0</v>
      </c>
      <c r="AE19" s="69" t="str">
        <f t="shared" si="12"/>
        <v>1</v>
      </c>
      <c r="AF19" s="73">
        <f t="shared" si="13"/>
        <v>0</v>
      </c>
      <c r="AG19" s="87">
        <v>5</v>
      </c>
      <c r="AH19" s="87">
        <v>1</v>
      </c>
      <c r="AI19" s="69" t="str">
        <f t="shared" si="14"/>
        <v>1</v>
      </c>
      <c r="AJ19" s="73">
        <f t="shared" si="15"/>
        <v>0</v>
      </c>
      <c r="AK19" s="87">
        <v>7</v>
      </c>
      <c r="AL19" s="87">
        <v>0</v>
      </c>
      <c r="AM19" s="69" t="str">
        <f t="shared" si="16"/>
        <v>1</v>
      </c>
      <c r="AN19" s="73">
        <f t="shared" si="17"/>
        <v>0</v>
      </c>
      <c r="AO19" s="87">
        <v>5</v>
      </c>
      <c r="AP19" s="87">
        <v>0</v>
      </c>
      <c r="AQ19" s="69" t="str">
        <f t="shared" si="18"/>
        <v>1</v>
      </c>
      <c r="AR19" s="73">
        <f t="shared" si="19"/>
        <v>0</v>
      </c>
      <c r="AS19" s="88">
        <v>6</v>
      </c>
      <c r="AT19" s="88">
        <v>0</v>
      </c>
      <c r="AU19" s="69" t="str">
        <f t="shared" si="20"/>
        <v>1</v>
      </c>
      <c r="AV19" s="73">
        <f t="shared" si="21"/>
        <v>0</v>
      </c>
      <c r="AW19" s="87">
        <v>3</v>
      </c>
      <c r="AX19" s="87">
        <v>0</v>
      </c>
      <c r="AY19" s="69" t="str">
        <f t="shared" si="22"/>
        <v>1</v>
      </c>
      <c r="AZ19" s="73">
        <f t="shared" si="23"/>
        <v>0</v>
      </c>
      <c r="BA19" s="91">
        <v>2</v>
      </c>
      <c r="BB19" s="91">
        <v>0</v>
      </c>
      <c r="BC19" s="69" t="str">
        <f t="shared" si="24"/>
        <v>1</v>
      </c>
      <c r="BD19" s="73">
        <f t="shared" si="25"/>
        <v>0</v>
      </c>
      <c r="BE19" s="87">
        <v>3</v>
      </c>
      <c r="BF19" s="87">
        <v>0</v>
      </c>
      <c r="BG19" s="69" t="str">
        <f t="shared" si="26"/>
        <v>1</v>
      </c>
      <c r="BH19" s="73">
        <f t="shared" si="27"/>
        <v>0</v>
      </c>
      <c r="BI19" s="87">
        <v>3</v>
      </c>
      <c r="BJ19" s="87">
        <v>0</v>
      </c>
      <c r="BK19" s="69" t="str">
        <f t="shared" si="28"/>
        <v>1</v>
      </c>
      <c r="BL19" s="73">
        <f t="shared" si="29"/>
        <v>0</v>
      </c>
      <c r="BM19" s="87">
        <v>3</v>
      </c>
      <c r="BN19" s="87">
        <v>0</v>
      </c>
      <c r="BO19" s="69" t="str">
        <f t="shared" si="30"/>
        <v>1</v>
      </c>
      <c r="BP19" s="73">
        <f t="shared" si="31"/>
        <v>0</v>
      </c>
      <c r="BQ19" s="87">
        <v>3</v>
      </c>
      <c r="BR19" s="87">
        <v>0</v>
      </c>
      <c r="BS19" s="69" t="str">
        <f t="shared" si="32"/>
        <v>1</v>
      </c>
      <c r="BT19" s="73">
        <f t="shared" si="33"/>
        <v>0</v>
      </c>
      <c r="BU19" s="87">
        <v>5</v>
      </c>
      <c r="BV19" s="87">
        <v>0</v>
      </c>
      <c r="BW19" s="69" t="str">
        <f t="shared" si="34"/>
        <v>1</v>
      </c>
      <c r="BX19" s="73">
        <f t="shared" si="35"/>
        <v>0</v>
      </c>
      <c r="BY19" s="87">
        <v>4</v>
      </c>
      <c r="BZ19" s="87">
        <v>0</v>
      </c>
      <c r="CA19" s="69" t="str">
        <f t="shared" si="36"/>
        <v>1</v>
      </c>
      <c r="CB19" s="73">
        <f t="shared" si="37"/>
        <v>0</v>
      </c>
      <c r="CC19" s="87">
        <v>4</v>
      </c>
      <c r="CD19" s="87">
        <v>0</v>
      </c>
      <c r="CE19" s="69" t="str">
        <f t="shared" si="38"/>
        <v>1</v>
      </c>
      <c r="CF19" s="73">
        <f t="shared" si="39"/>
        <v>0</v>
      </c>
      <c r="CG19" s="87">
        <v>4</v>
      </c>
      <c r="CH19" s="87">
        <v>0</v>
      </c>
      <c r="CI19" s="69" t="str">
        <f t="shared" si="40"/>
        <v>1</v>
      </c>
      <c r="CJ19" s="73">
        <f t="shared" si="41"/>
        <v>0</v>
      </c>
      <c r="CK19" s="88">
        <v>3</v>
      </c>
      <c r="CL19" s="88">
        <v>1</v>
      </c>
      <c r="CM19" s="69" t="str">
        <f t="shared" si="42"/>
        <v>1</v>
      </c>
      <c r="CN19" s="73">
        <f t="shared" si="43"/>
        <v>0</v>
      </c>
      <c r="CO19" s="87">
        <v>2</v>
      </c>
      <c r="CP19" s="87">
        <v>0</v>
      </c>
      <c r="CQ19" s="69" t="str">
        <f t="shared" si="44"/>
        <v>1</v>
      </c>
      <c r="CR19" s="73">
        <f t="shared" si="45"/>
        <v>0</v>
      </c>
      <c r="CS19" s="87">
        <v>4</v>
      </c>
      <c r="CT19" s="87">
        <v>0</v>
      </c>
      <c r="CU19" s="69" t="str">
        <f t="shared" si="46"/>
        <v>1</v>
      </c>
      <c r="CV19" s="73">
        <f t="shared" si="47"/>
        <v>0</v>
      </c>
      <c r="CW19" s="87">
        <v>3</v>
      </c>
      <c r="CX19" s="87">
        <v>0</v>
      </c>
      <c r="CY19" s="69" t="str">
        <f t="shared" si="48"/>
        <v>1</v>
      </c>
      <c r="CZ19" s="73">
        <f t="shared" si="49"/>
        <v>0</v>
      </c>
      <c r="DA19" s="87">
        <v>3</v>
      </c>
      <c r="DB19" s="87">
        <v>1</v>
      </c>
      <c r="DC19" s="69" t="str">
        <f t="shared" si="50"/>
        <v>1</v>
      </c>
      <c r="DD19" s="73">
        <f t="shared" si="51"/>
        <v>0</v>
      </c>
      <c r="DE19" s="87">
        <v>4</v>
      </c>
      <c r="DF19" s="87">
        <v>0</v>
      </c>
      <c r="DG19" s="69" t="str">
        <f t="shared" si="52"/>
        <v>1</v>
      </c>
      <c r="DH19" s="73">
        <f t="shared" si="53"/>
        <v>0</v>
      </c>
      <c r="DI19" s="87">
        <v>5</v>
      </c>
      <c r="DJ19" s="87">
        <v>0</v>
      </c>
      <c r="DK19" s="69" t="str">
        <f t="shared" si="54"/>
        <v>1</v>
      </c>
      <c r="DL19" s="73">
        <f t="shared" si="55"/>
        <v>0</v>
      </c>
      <c r="DM19" s="87">
        <v>3</v>
      </c>
      <c r="DN19" s="87">
        <v>1</v>
      </c>
      <c r="DO19" s="69" t="str">
        <f t="shared" si="56"/>
        <v>1</v>
      </c>
      <c r="DP19" s="73">
        <f t="shared" si="57"/>
        <v>0</v>
      </c>
    </row>
    <row r="20" spans="1:120" ht="15.75" customHeight="1">
      <c r="A20" s="130">
        <v>44736</v>
      </c>
      <c r="B20" s="131" t="s">
        <v>107</v>
      </c>
      <c r="C20" s="85" t="s">
        <v>58</v>
      </c>
      <c r="D20" s="85" t="s">
        <v>55</v>
      </c>
      <c r="E20" s="84">
        <f t="shared" si="0"/>
        <v>0</v>
      </c>
      <c r="F20" s="22"/>
      <c r="G20" s="4"/>
      <c r="H20" s="76" t="b">
        <f t="shared" si="1"/>
        <v>0</v>
      </c>
      <c r="I20" s="87"/>
      <c r="J20" s="87"/>
      <c r="K20" s="69" t="str">
        <f t="shared" si="2"/>
        <v>X</v>
      </c>
      <c r="L20" s="73">
        <f t="shared" si="3"/>
        <v>0</v>
      </c>
      <c r="M20" s="87"/>
      <c r="N20" s="87"/>
      <c r="O20" s="69" t="str">
        <f t="shared" si="4"/>
        <v>X</v>
      </c>
      <c r="P20" s="73">
        <f t="shared" si="5"/>
        <v>0</v>
      </c>
      <c r="Q20" s="87"/>
      <c r="R20" s="87"/>
      <c r="S20" s="69" t="str">
        <f t="shared" si="6"/>
        <v>X</v>
      </c>
      <c r="T20" s="73">
        <f t="shared" si="7"/>
        <v>0</v>
      </c>
      <c r="U20" s="87"/>
      <c r="V20" s="87"/>
      <c r="W20" s="69" t="str">
        <f t="shared" si="8"/>
        <v>X</v>
      </c>
      <c r="X20" s="73">
        <f t="shared" si="9"/>
        <v>0</v>
      </c>
      <c r="Y20" s="87"/>
      <c r="Z20" s="87"/>
      <c r="AA20" s="69" t="str">
        <f t="shared" si="10"/>
        <v>X</v>
      </c>
      <c r="AB20" s="73">
        <f t="shared" si="11"/>
        <v>0</v>
      </c>
      <c r="AC20" s="87"/>
      <c r="AD20" s="87"/>
      <c r="AE20" s="69" t="str">
        <f t="shared" si="12"/>
        <v>X</v>
      </c>
      <c r="AF20" s="73">
        <f t="shared" si="13"/>
        <v>0</v>
      </c>
      <c r="AG20" s="87"/>
      <c r="AH20" s="87"/>
      <c r="AI20" s="69" t="str">
        <f t="shared" si="14"/>
        <v>X</v>
      </c>
      <c r="AJ20" s="73">
        <f t="shared" si="15"/>
        <v>0</v>
      </c>
      <c r="AK20" s="87"/>
      <c r="AL20" s="87"/>
      <c r="AM20" s="69" t="str">
        <f t="shared" si="16"/>
        <v>X</v>
      </c>
      <c r="AN20" s="73">
        <f t="shared" si="17"/>
        <v>0</v>
      </c>
      <c r="AO20" s="87"/>
      <c r="AP20" s="87"/>
      <c r="AQ20" s="69" t="str">
        <f t="shared" si="18"/>
        <v>X</v>
      </c>
      <c r="AR20" s="73">
        <f t="shared" si="19"/>
        <v>0</v>
      </c>
      <c r="AS20" s="88"/>
      <c r="AT20" s="88"/>
      <c r="AU20" s="69" t="str">
        <f t="shared" si="20"/>
        <v>X</v>
      </c>
      <c r="AV20" s="73">
        <f t="shared" si="21"/>
        <v>0</v>
      </c>
      <c r="AW20" s="87"/>
      <c r="AX20" s="87"/>
      <c r="AY20" s="69" t="str">
        <f t="shared" si="22"/>
        <v>X</v>
      </c>
      <c r="AZ20" s="73">
        <f t="shared" si="23"/>
        <v>0</v>
      </c>
      <c r="BA20" s="91"/>
      <c r="BB20" s="91"/>
      <c r="BC20" s="69" t="str">
        <f t="shared" si="24"/>
        <v>X</v>
      </c>
      <c r="BD20" s="73">
        <f t="shared" si="25"/>
        <v>0</v>
      </c>
      <c r="BE20" s="87"/>
      <c r="BF20" s="87"/>
      <c r="BG20" s="69" t="str">
        <f t="shared" si="26"/>
        <v>X</v>
      </c>
      <c r="BH20" s="73">
        <f t="shared" si="27"/>
        <v>0</v>
      </c>
      <c r="BI20" s="87"/>
      <c r="BJ20" s="87"/>
      <c r="BK20" s="69" t="str">
        <f t="shared" si="28"/>
        <v>X</v>
      </c>
      <c r="BL20" s="73">
        <f t="shared" si="29"/>
        <v>0</v>
      </c>
      <c r="BM20" s="87"/>
      <c r="BN20" s="87"/>
      <c r="BO20" s="69" t="str">
        <f t="shared" si="30"/>
        <v>X</v>
      </c>
      <c r="BP20" s="73">
        <f t="shared" si="31"/>
        <v>0</v>
      </c>
      <c r="BQ20" s="87"/>
      <c r="BR20" s="87"/>
      <c r="BS20" s="69" t="str">
        <f t="shared" si="32"/>
        <v>X</v>
      </c>
      <c r="BT20" s="73">
        <f t="shared" si="33"/>
        <v>0</v>
      </c>
      <c r="BU20" s="87"/>
      <c r="BV20" s="87"/>
      <c r="BW20" s="69" t="str">
        <f t="shared" si="34"/>
        <v>X</v>
      </c>
      <c r="BX20" s="73">
        <f t="shared" si="35"/>
        <v>0</v>
      </c>
      <c r="BY20" s="87"/>
      <c r="BZ20" s="87"/>
      <c r="CA20" s="69" t="str">
        <f t="shared" si="36"/>
        <v>X</v>
      </c>
      <c r="CB20" s="73">
        <f t="shared" si="37"/>
        <v>0</v>
      </c>
      <c r="CC20" s="87"/>
      <c r="CD20" s="87"/>
      <c r="CE20" s="69" t="str">
        <f t="shared" si="38"/>
        <v>X</v>
      </c>
      <c r="CF20" s="73">
        <f t="shared" si="39"/>
        <v>0</v>
      </c>
      <c r="CG20" s="87"/>
      <c r="CH20" s="87"/>
      <c r="CI20" s="69" t="str">
        <f t="shared" si="40"/>
        <v>X</v>
      </c>
      <c r="CJ20" s="73">
        <f t="shared" si="41"/>
        <v>0</v>
      </c>
      <c r="CK20" s="88"/>
      <c r="CL20" s="88"/>
      <c r="CM20" s="69" t="str">
        <f t="shared" si="42"/>
        <v>X</v>
      </c>
      <c r="CN20" s="73">
        <f t="shared" si="43"/>
        <v>0</v>
      </c>
      <c r="CO20" s="87"/>
      <c r="CP20" s="87"/>
      <c r="CQ20" s="69" t="str">
        <f t="shared" si="44"/>
        <v>X</v>
      </c>
      <c r="CR20" s="73">
        <f t="shared" si="45"/>
        <v>0</v>
      </c>
      <c r="CS20" s="87"/>
      <c r="CT20" s="87"/>
      <c r="CU20" s="69" t="str">
        <f t="shared" si="46"/>
        <v>X</v>
      </c>
      <c r="CV20" s="73">
        <f t="shared" si="47"/>
        <v>0</v>
      </c>
      <c r="CW20" s="87"/>
      <c r="CX20" s="87"/>
      <c r="CY20" s="69" t="str">
        <f t="shared" si="48"/>
        <v>X</v>
      </c>
      <c r="CZ20" s="73">
        <f t="shared" si="49"/>
        <v>0</v>
      </c>
      <c r="DA20" s="87"/>
      <c r="DB20" s="87"/>
      <c r="DC20" s="69" t="str">
        <f t="shared" si="50"/>
        <v>X</v>
      </c>
      <c r="DD20" s="73">
        <f t="shared" si="51"/>
        <v>0</v>
      </c>
      <c r="DE20" s="87"/>
      <c r="DF20" s="87"/>
      <c r="DG20" s="69" t="str">
        <f t="shared" si="52"/>
        <v>X</v>
      </c>
      <c r="DH20" s="73">
        <f t="shared" si="53"/>
        <v>0</v>
      </c>
      <c r="DI20" s="87"/>
      <c r="DJ20" s="87"/>
      <c r="DK20" s="69" t="str">
        <f t="shared" si="54"/>
        <v>X</v>
      </c>
      <c r="DL20" s="73">
        <f t="shared" si="55"/>
        <v>0</v>
      </c>
      <c r="DM20" s="87"/>
      <c r="DN20" s="87"/>
      <c r="DO20" s="69" t="str">
        <f t="shared" si="56"/>
        <v>X</v>
      </c>
      <c r="DP20" s="73">
        <f t="shared" si="57"/>
        <v>0</v>
      </c>
    </row>
    <row r="21" spans="1:120" ht="15.75" customHeight="1">
      <c r="A21" s="130">
        <v>44736</v>
      </c>
      <c r="B21" s="131" t="s">
        <v>107</v>
      </c>
      <c r="C21" s="85" t="s">
        <v>56</v>
      </c>
      <c r="D21" s="85" t="s">
        <v>57</v>
      </c>
      <c r="E21" s="84">
        <f t="shared" si="0"/>
        <v>0</v>
      </c>
      <c r="F21" s="22"/>
      <c r="G21" s="4"/>
      <c r="H21" s="76" t="b">
        <f t="shared" si="1"/>
        <v>0</v>
      </c>
      <c r="I21" s="87"/>
      <c r="J21" s="87"/>
      <c r="K21" s="69" t="str">
        <f t="shared" si="2"/>
        <v>X</v>
      </c>
      <c r="L21" s="73">
        <f t="shared" si="3"/>
        <v>0</v>
      </c>
      <c r="M21" s="87"/>
      <c r="N21" s="87"/>
      <c r="O21" s="69" t="str">
        <f t="shared" si="4"/>
        <v>X</v>
      </c>
      <c r="P21" s="73">
        <f t="shared" si="5"/>
        <v>0</v>
      </c>
      <c r="Q21" s="87"/>
      <c r="R21" s="87"/>
      <c r="S21" s="69" t="str">
        <f t="shared" si="6"/>
        <v>X</v>
      </c>
      <c r="T21" s="73">
        <f t="shared" si="7"/>
        <v>0</v>
      </c>
      <c r="U21" s="87"/>
      <c r="V21" s="87"/>
      <c r="W21" s="69" t="str">
        <f t="shared" si="8"/>
        <v>X</v>
      </c>
      <c r="X21" s="73">
        <f t="shared" si="9"/>
        <v>0</v>
      </c>
      <c r="Y21" s="87"/>
      <c r="Z21" s="87"/>
      <c r="AA21" s="69" t="str">
        <f t="shared" si="10"/>
        <v>X</v>
      </c>
      <c r="AB21" s="73">
        <f t="shared" si="11"/>
        <v>0</v>
      </c>
      <c r="AC21" s="87"/>
      <c r="AD21" s="87"/>
      <c r="AE21" s="69" t="str">
        <f t="shared" si="12"/>
        <v>X</v>
      </c>
      <c r="AF21" s="73">
        <f t="shared" si="13"/>
        <v>0</v>
      </c>
      <c r="AG21" s="87"/>
      <c r="AH21" s="87"/>
      <c r="AI21" s="69" t="str">
        <f t="shared" si="14"/>
        <v>X</v>
      </c>
      <c r="AJ21" s="73">
        <f t="shared" si="15"/>
        <v>0</v>
      </c>
      <c r="AK21" s="87"/>
      <c r="AL21" s="87"/>
      <c r="AM21" s="69" t="str">
        <f t="shared" si="16"/>
        <v>X</v>
      </c>
      <c r="AN21" s="73">
        <f t="shared" si="17"/>
        <v>0</v>
      </c>
      <c r="AO21" s="87"/>
      <c r="AP21" s="87"/>
      <c r="AQ21" s="69" t="str">
        <f t="shared" si="18"/>
        <v>X</v>
      </c>
      <c r="AR21" s="73">
        <f t="shared" si="19"/>
        <v>0</v>
      </c>
      <c r="AS21" s="88"/>
      <c r="AT21" s="88"/>
      <c r="AU21" s="69" t="str">
        <f t="shared" si="20"/>
        <v>X</v>
      </c>
      <c r="AV21" s="73">
        <f t="shared" si="21"/>
        <v>0</v>
      </c>
      <c r="AW21" s="87"/>
      <c r="AX21" s="87"/>
      <c r="AY21" s="69" t="str">
        <f t="shared" si="22"/>
        <v>X</v>
      </c>
      <c r="AZ21" s="73">
        <f t="shared" si="23"/>
        <v>0</v>
      </c>
      <c r="BA21" s="91"/>
      <c r="BB21" s="91"/>
      <c r="BC21" s="69" t="str">
        <f t="shared" si="24"/>
        <v>X</v>
      </c>
      <c r="BD21" s="73">
        <f t="shared" si="25"/>
        <v>0</v>
      </c>
      <c r="BE21" s="87"/>
      <c r="BF21" s="87"/>
      <c r="BG21" s="69" t="str">
        <f t="shared" si="26"/>
        <v>X</v>
      </c>
      <c r="BH21" s="73">
        <f t="shared" si="27"/>
        <v>0</v>
      </c>
      <c r="BI21" s="87"/>
      <c r="BJ21" s="87"/>
      <c r="BK21" s="69" t="str">
        <f t="shared" si="28"/>
        <v>X</v>
      </c>
      <c r="BL21" s="73">
        <f t="shared" si="29"/>
        <v>0</v>
      </c>
      <c r="BM21" s="87"/>
      <c r="BN21" s="87"/>
      <c r="BO21" s="69" t="str">
        <f t="shared" si="30"/>
        <v>X</v>
      </c>
      <c r="BP21" s="73">
        <f t="shared" si="31"/>
        <v>0</v>
      </c>
      <c r="BQ21" s="87"/>
      <c r="BR21" s="87"/>
      <c r="BS21" s="69" t="str">
        <f t="shared" si="32"/>
        <v>X</v>
      </c>
      <c r="BT21" s="73">
        <f t="shared" si="33"/>
        <v>0</v>
      </c>
      <c r="BU21" s="87"/>
      <c r="BV21" s="87"/>
      <c r="BW21" s="69" t="str">
        <f t="shared" si="34"/>
        <v>X</v>
      </c>
      <c r="BX21" s="73">
        <f t="shared" si="35"/>
        <v>0</v>
      </c>
      <c r="BY21" s="87"/>
      <c r="BZ21" s="87"/>
      <c r="CA21" s="69" t="str">
        <f t="shared" si="36"/>
        <v>X</v>
      </c>
      <c r="CB21" s="73">
        <f t="shared" si="37"/>
        <v>0</v>
      </c>
      <c r="CC21" s="87"/>
      <c r="CD21" s="87"/>
      <c r="CE21" s="69" t="str">
        <f t="shared" si="38"/>
        <v>X</v>
      </c>
      <c r="CF21" s="73">
        <f t="shared" si="39"/>
        <v>0</v>
      </c>
      <c r="CG21" s="87"/>
      <c r="CH21" s="87"/>
      <c r="CI21" s="69" t="str">
        <f t="shared" si="40"/>
        <v>X</v>
      </c>
      <c r="CJ21" s="73">
        <f t="shared" si="41"/>
        <v>0</v>
      </c>
      <c r="CK21" s="88"/>
      <c r="CL21" s="88"/>
      <c r="CM21" s="69" t="str">
        <f t="shared" si="42"/>
        <v>X</v>
      </c>
      <c r="CN21" s="73">
        <f t="shared" si="43"/>
        <v>0</v>
      </c>
      <c r="CO21" s="87"/>
      <c r="CP21" s="87"/>
      <c r="CQ21" s="69" t="str">
        <f t="shared" si="44"/>
        <v>X</v>
      </c>
      <c r="CR21" s="73">
        <f t="shared" si="45"/>
        <v>0</v>
      </c>
      <c r="CS21" s="87"/>
      <c r="CT21" s="87"/>
      <c r="CU21" s="69" t="str">
        <f t="shared" si="46"/>
        <v>X</v>
      </c>
      <c r="CV21" s="73">
        <f t="shared" si="47"/>
        <v>0</v>
      </c>
      <c r="CW21" s="87"/>
      <c r="CX21" s="87"/>
      <c r="CY21" s="69" t="str">
        <f t="shared" si="48"/>
        <v>X</v>
      </c>
      <c r="CZ21" s="73">
        <f t="shared" si="49"/>
        <v>0</v>
      </c>
      <c r="DA21" s="87"/>
      <c r="DB21" s="87"/>
      <c r="DC21" s="69" t="str">
        <f t="shared" si="50"/>
        <v>X</v>
      </c>
      <c r="DD21" s="73">
        <f t="shared" si="51"/>
        <v>0</v>
      </c>
      <c r="DE21" s="87"/>
      <c r="DF21" s="87"/>
      <c r="DG21" s="69" t="str">
        <f t="shared" si="52"/>
        <v>X</v>
      </c>
      <c r="DH21" s="73">
        <f t="shared" si="53"/>
        <v>0</v>
      </c>
      <c r="DI21" s="87"/>
      <c r="DJ21" s="87"/>
      <c r="DK21" s="69" t="str">
        <f t="shared" si="54"/>
        <v>X</v>
      </c>
      <c r="DL21" s="73">
        <f t="shared" si="55"/>
        <v>0</v>
      </c>
      <c r="DM21" s="87"/>
      <c r="DN21" s="87"/>
      <c r="DO21" s="69" t="str">
        <f t="shared" si="56"/>
        <v>X</v>
      </c>
      <c r="DP21" s="73">
        <f t="shared" si="57"/>
        <v>0</v>
      </c>
    </row>
    <row r="22" spans="1:120" ht="15.75" customHeight="1">
      <c r="A22" s="130">
        <v>44724</v>
      </c>
      <c r="B22" s="131" t="s">
        <v>106</v>
      </c>
      <c r="C22" s="85" t="s">
        <v>59</v>
      </c>
      <c r="D22" s="85" t="s">
        <v>60</v>
      </c>
      <c r="E22" s="84">
        <f t="shared" si="0"/>
        <v>0</v>
      </c>
      <c r="F22" s="22"/>
      <c r="G22" s="4"/>
      <c r="H22" s="76" t="b">
        <f t="shared" si="1"/>
        <v>0</v>
      </c>
      <c r="I22" s="87">
        <v>1</v>
      </c>
      <c r="J22" s="87">
        <v>0</v>
      </c>
      <c r="K22" s="69" t="str">
        <f t="shared" si="2"/>
        <v>1</v>
      </c>
      <c r="L22" s="73">
        <f t="shared" si="3"/>
        <v>0</v>
      </c>
      <c r="M22" s="87">
        <v>2</v>
      </c>
      <c r="N22" s="87">
        <v>1</v>
      </c>
      <c r="O22" s="69" t="str">
        <f t="shared" si="4"/>
        <v>1</v>
      </c>
      <c r="P22" s="73">
        <f t="shared" si="5"/>
        <v>0</v>
      </c>
      <c r="Q22" s="87">
        <v>1</v>
      </c>
      <c r="R22" s="87">
        <v>0</v>
      </c>
      <c r="S22" s="69" t="str">
        <f t="shared" si="6"/>
        <v>1</v>
      </c>
      <c r="T22" s="73">
        <f t="shared" si="7"/>
        <v>0</v>
      </c>
      <c r="U22" s="87">
        <v>2</v>
      </c>
      <c r="V22" s="87">
        <v>1</v>
      </c>
      <c r="W22" s="69" t="str">
        <f t="shared" si="8"/>
        <v>1</v>
      </c>
      <c r="X22" s="73">
        <f t="shared" si="9"/>
        <v>0</v>
      </c>
      <c r="Y22" s="87">
        <v>0</v>
      </c>
      <c r="Z22" s="87">
        <v>0</v>
      </c>
      <c r="AA22" s="69" t="str">
        <f t="shared" si="10"/>
        <v>X</v>
      </c>
      <c r="AB22" s="73">
        <f t="shared" si="11"/>
        <v>0</v>
      </c>
      <c r="AC22" s="87">
        <v>1</v>
      </c>
      <c r="AD22" s="87">
        <v>0</v>
      </c>
      <c r="AE22" s="69" t="str">
        <f t="shared" si="12"/>
        <v>1</v>
      </c>
      <c r="AF22" s="73">
        <f t="shared" si="13"/>
        <v>0</v>
      </c>
      <c r="AG22" s="87">
        <v>1</v>
      </c>
      <c r="AH22" s="87">
        <v>1</v>
      </c>
      <c r="AI22" s="69" t="str">
        <f t="shared" si="14"/>
        <v>X</v>
      </c>
      <c r="AJ22" s="73">
        <f t="shared" si="15"/>
        <v>0</v>
      </c>
      <c r="AK22" s="87">
        <v>2</v>
      </c>
      <c r="AL22" s="87">
        <v>1</v>
      </c>
      <c r="AM22" s="69" t="str">
        <f t="shared" si="16"/>
        <v>1</v>
      </c>
      <c r="AN22" s="73">
        <f t="shared" si="17"/>
        <v>0</v>
      </c>
      <c r="AO22" s="87">
        <v>1</v>
      </c>
      <c r="AP22" s="87">
        <v>1</v>
      </c>
      <c r="AQ22" s="69" t="str">
        <f t="shared" si="18"/>
        <v>X</v>
      </c>
      <c r="AR22" s="73">
        <f t="shared" si="19"/>
        <v>0</v>
      </c>
      <c r="AS22" s="88">
        <v>2</v>
      </c>
      <c r="AT22" s="88">
        <v>1</v>
      </c>
      <c r="AU22" s="69" t="str">
        <f t="shared" si="20"/>
        <v>1</v>
      </c>
      <c r="AV22" s="73">
        <f t="shared" si="21"/>
        <v>0</v>
      </c>
      <c r="AW22" s="87">
        <v>1</v>
      </c>
      <c r="AX22" s="87">
        <v>1</v>
      </c>
      <c r="AY22" s="69" t="str">
        <f t="shared" si="22"/>
        <v>X</v>
      </c>
      <c r="AZ22" s="73">
        <f t="shared" si="23"/>
        <v>0</v>
      </c>
      <c r="BA22" s="91">
        <v>1</v>
      </c>
      <c r="BB22" s="91">
        <v>1</v>
      </c>
      <c r="BC22" s="69" t="str">
        <f t="shared" si="24"/>
        <v>X</v>
      </c>
      <c r="BD22" s="73">
        <f t="shared" si="25"/>
        <v>0</v>
      </c>
      <c r="BE22" s="87">
        <v>2</v>
      </c>
      <c r="BF22" s="87">
        <v>1</v>
      </c>
      <c r="BG22" s="69" t="str">
        <f t="shared" si="26"/>
        <v>1</v>
      </c>
      <c r="BH22" s="73">
        <f t="shared" si="27"/>
        <v>0</v>
      </c>
      <c r="BI22" s="87">
        <v>2</v>
      </c>
      <c r="BJ22" s="87">
        <v>0</v>
      </c>
      <c r="BK22" s="69" t="str">
        <f t="shared" si="28"/>
        <v>1</v>
      </c>
      <c r="BL22" s="73">
        <f t="shared" si="29"/>
        <v>0</v>
      </c>
      <c r="BM22" s="87">
        <v>2</v>
      </c>
      <c r="BN22" s="87">
        <v>0</v>
      </c>
      <c r="BO22" s="69" t="str">
        <f t="shared" si="30"/>
        <v>1</v>
      </c>
      <c r="BP22" s="73">
        <f t="shared" si="31"/>
        <v>0</v>
      </c>
      <c r="BQ22" s="87">
        <v>1</v>
      </c>
      <c r="BR22" s="87">
        <v>0</v>
      </c>
      <c r="BS22" s="69" t="str">
        <f t="shared" si="32"/>
        <v>1</v>
      </c>
      <c r="BT22" s="73">
        <f t="shared" si="33"/>
        <v>0</v>
      </c>
      <c r="BU22" s="87">
        <v>2</v>
      </c>
      <c r="BV22" s="87">
        <v>1</v>
      </c>
      <c r="BW22" s="69" t="str">
        <f t="shared" si="34"/>
        <v>1</v>
      </c>
      <c r="BX22" s="73">
        <f t="shared" si="35"/>
        <v>0</v>
      </c>
      <c r="BY22" s="87">
        <v>1</v>
      </c>
      <c r="BZ22" s="87">
        <v>1</v>
      </c>
      <c r="CA22" s="69" t="str">
        <f t="shared" si="36"/>
        <v>X</v>
      </c>
      <c r="CB22" s="73">
        <f t="shared" si="37"/>
        <v>0</v>
      </c>
      <c r="CC22" s="87">
        <v>1</v>
      </c>
      <c r="CD22" s="87">
        <v>1</v>
      </c>
      <c r="CE22" s="69" t="str">
        <f t="shared" si="38"/>
        <v>X</v>
      </c>
      <c r="CF22" s="73">
        <f t="shared" si="39"/>
        <v>0</v>
      </c>
      <c r="CG22" s="87">
        <v>2</v>
      </c>
      <c r="CH22" s="87">
        <v>1</v>
      </c>
      <c r="CI22" s="69" t="str">
        <f t="shared" si="40"/>
        <v>1</v>
      </c>
      <c r="CJ22" s="73">
        <f t="shared" si="41"/>
        <v>0</v>
      </c>
      <c r="CK22" s="88">
        <v>1</v>
      </c>
      <c r="CL22" s="88">
        <v>0</v>
      </c>
      <c r="CM22" s="69" t="str">
        <f t="shared" si="42"/>
        <v>1</v>
      </c>
      <c r="CN22" s="73">
        <f t="shared" si="43"/>
        <v>0</v>
      </c>
      <c r="CO22" s="87">
        <v>1</v>
      </c>
      <c r="CP22" s="87">
        <v>1</v>
      </c>
      <c r="CQ22" s="69" t="str">
        <f t="shared" si="44"/>
        <v>X</v>
      </c>
      <c r="CR22" s="73">
        <f t="shared" si="45"/>
        <v>0</v>
      </c>
      <c r="CS22" s="87">
        <v>1</v>
      </c>
      <c r="CT22" s="87">
        <v>1</v>
      </c>
      <c r="CU22" s="69" t="str">
        <f t="shared" si="46"/>
        <v>X</v>
      </c>
      <c r="CV22" s="73">
        <f t="shared" si="47"/>
        <v>0</v>
      </c>
      <c r="CW22" s="87">
        <v>2</v>
      </c>
      <c r="CX22" s="87">
        <v>1</v>
      </c>
      <c r="CY22" s="69" t="str">
        <f t="shared" si="48"/>
        <v>1</v>
      </c>
      <c r="CZ22" s="73">
        <f t="shared" si="49"/>
        <v>0</v>
      </c>
      <c r="DA22" s="87">
        <v>2</v>
      </c>
      <c r="DB22" s="87">
        <v>1</v>
      </c>
      <c r="DC22" s="69" t="str">
        <f t="shared" si="50"/>
        <v>1</v>
      </c>
      <c r="DD22" s="73">
        <f t="shared" si="51"/>
        <v>0</v>
      </c>
      <c r="DE22" s="87">
        <v>2</v>
      </c>
      <c r="DF22" s="87">
        <v>0</v>
      </c>
      <c r="DG22" s="69" t="str">
        <f t="shared" si="52"/>
        <v>1</v>
      </c>
      <c r="DH22" s="73">
        <f t="shared" si="53"/>
        <v>0</v>
      </c>
      <c r="DI22" s="87">
        <v>3</v>
      </c>
      <c r="DJ22" s="87">
        <v>2</v>
      </c>
      <c r="DK22" s="69" t="str">
        <f t="shared" si="54"/>
        <v>1</v>
      </c>
      <c r="DL22" s="73">
        <f t="shared" si="55"/>
        <v>0</v>
      </c>
      <c r="DM22" s="87">
        <v>1</v>
      </c>
      <c r="DN22" s="87">
        <v>1</v>
      </c>
      <c r="DO22" s="69" t="str">
        <f t="shared" si="56"/>
        <v>X</v>
      </c>
      <c r="DP22" s="73">
        <f t="shared" si="57"/>
        <v>0</v>
      </c>
    </row>
    <row r="23" spans="1:120" ht="15.75" customHeight="1">
      <c r="A23" s="130">
        <v>44725</v>
      </c>
      <c r="B23" s="131" t="s">
        <v>109</v>
      </c>
      <c r="C23" s="85" t="s">
        <v>61</v>
      </c>
      <c r="D23" s="85" t="s">
        <v>62</v>
      </c>
      <c r="E23" s="84">
        <f t="shared" si="0"/>
        <v>0</v>
      </c>
      <c r="F23" s="22"/>
      <c r="G23" s="4"/>
      <c r="H23" s="76" t="b">
        <f t="shared" si="1"/>
        <v>0</v>
      </c>
      <c r="I23" s="87">
        <v>1</v>
      </c>
      <c r="J23" s="87">
        <v>2</v>
      </c>
      <c r="K23" s="69" t="str">
        <f t="shared" si="2"/>
        <v>2</v>
      </c>
      <c r="L23" s="73">
        <f t="shared" si="3"/>
        <v>0</v>
      </c>
      <c r="M23" s="87">
        <v>1</v>
      </c>
      <c r="N23" s="87">
        <v>1</v>
      </c>
      <c r="O23" s="69" t="str">
        <f t="shared" si="4"/>
        <v>X</v>
      </c>
      <c r="P23" s="73">
        <f t="shared" si="5"/>
        <v>0</v>
      </c>
      <c r="Q23" s="87">
        <v>0</v>
      </c>
      <c r="R23" s="87">
        <v>2</v>
      </c>
      <c r="S23" s="69" t="str">
        <f t="shared" si="6"/>
        <v>2</v>
      </c>
      <c r="T23" s="73">
        <f t="shared" si="7"/>
        <v>0</v>
      </c>
      <c r="U23" s="87">
        <v>0</v>
      </c>
      <c r="V23" s="87">
        <v>1</v>
      </c>
      <c r="W23" s="69" t="str">
        <f t="shared" si="8"/>
        <v>2</v>
      </c>
      <c r="X23" s="73">
        <f t="shared" si="9"/>
        <v>0</v>
      </c>
      <c r="Y23" s="87">
        <v>0</v>
      </c>
      <c r="Z23" s="87">
        <v>2</v>
      </c>
      <c r="AA23" s="69" t="str">
        <f t="shared" si="10"/>
        <v>2</v>
      </c>
      <c r="AB23" s="73">
        <f t="shared" si="11"/>
        <v>0</v>
      </c>
      <c r="AC23" s="87">
        <v>0</v>
      </c>
      <c r="AD23" s="87">
        <v>2</v>
      </c>
      <c r="AE23" s="69" t="str">
        <f t="shared" si="12"/>
        <v>2</v>
      </c>
      <c r="AF23" s="73">
        <f t="shared" si="13"/>
        <v>0</v>
      </c>
      <c r="AG23" s="87">
        <v>0</v>
      </c>
      <c r="AH23" s="87">
        <v>2</v>
      </c>
      <c r="AI23" s="69" t="str">
        <f t="shared" si="14"/>
        <v>2</v>
      </c>
      <c r="AJ23" s="73">
        <f t="shared" si="15"/>
        <v>0</v>
      </c>
      <c r="AK23" s="87">
        <v>1</v>
      </c>
      <c r="AL23" s="87">
        <v>2</v>
      </c>
      <c r="AM23" s="69" t="str">
        <f t="shared" si="16"/>
        <v>2</v>
      </c>
      <c r="AN23" s="73">
        <f t="shared" si="17"/>
        <v>0</v>
      </c>
      <c r="AO23" s="87">
        <v>2</v>
      </c>
      <c r="AP23" s="87">
        <v>2</v>
      </c>
      <c r="AQ23" s="69" t="str">
        <f t="shared" si="18"/>
        <v>X</v>
      </c>
      <c r="AR23" s="73">
        <f t="shared" si="19"/>
        <v>0</v>
      </c>
      <c r="AS23" s="88">
        <v>0</v>
      </c>
      <c r="AT23" s="88">
        <v>1</v>
      </c>
      <c r="AU23" s="69" t="str">
        <f t="shared" si="20"/>
        <v>2</v>
      </c>
      <c r="AV23" s="73">
        <f t="shared" si="21"/>
        <v>0</v>
      </c>
      <c r="AW23" s="87">
        <v>1</v>
      </c>
      <c r="AX23" s="87">
        <v>3</v>
      </c>
      <c r="AY23" s="69" t="str">
        <f t="shared" si="22"/>
        <v>2</v>
      </c>
      <c r="AZ23" s="73">
        <f t="shared" si="23"/>
        <v>0</v>
      </c>
      <c r="BA23" s="91">
        <v>0</v>
      </c>
      <c r="BB23" s="91">
        <v>1</v>
      </c>
      <c r="BC23" s="69" t="str">
        <f t="shared" si="24"/>
        <v>2</v>
      </c>
      <c r="BD23" s="73">
        <f t="shared" si="25"/>
        <v>0</v>
      </c>
      <c r="BE23" s="87">
        <v>0</v>
      </c>
      <c r="BF23" s="87">
        <v>2</v>
      </c>
      <c r="BG23" s="69" t="str">
        <f t="shared" si="26"/>
        <v>2</v>
      </c>
      <c r="BH23" s="73">
        <f t="shared" si="27"/>
        <v>0</v>
      </c>
      <c r="BI23" s="87">
        <v>1</v>
      </c>
      <c r="BJ23" s="87">
        <v>1</v>
      </c>
      <c r="BK23" s="69" t="str">
        <f t="shared" si="28"/>
        <v>X</v>
      </c>
      <c r="BL23" s="73">
        <f t="shared" si="29"/>
        <v>0</v>
      </c>
      <c r="BM23" s="87">
        <v>0</v>
      </c>
      <c r="BN23" s="87">
        <v>2</v>
      </c>
      <c r="BO23" s="69" t="str">
        <f t="shared" si="30"/>
        <v>2</v>
      </c>
      <c r="BP23" s="73">
        <f t="shared" si="31"/>
        <v>0</v>
      </c>
      <c r="BQ23" s="87">
        <v>1</v>
      </c>
      <c r="BR23" s="87">
        <v>2</v>
      </c>
      <c r="BS23" s="69" t="str">
        <f t="shared" si="32"/>
        <v>2</v>
      </c>
      <c r="BT23" s="73">
        <f t="shared" si="33"/>
        <v>0</v>
      </c>
      <c r="BU23" s="87">
        <v>1</v>
      </c>
      <c r="BV23" s="87">
        <v>2</v>
      </c>
      <c r="BW23" s="69" t="str">
        <f t="shared" si="34"/>
        <v>2</v>
      </c>
      <c r="BX23" s="73">
        <f t="shared" si="35"/>
        <v>0</v>
      </c>
      <c r="BY23" s="87">
        <v>0</v>
      </c>
      <c r="BZ23" s="87">
        <v>2</v>
      </c>
      <c r="CA23" s="69" t="str">
        <f t="shared" si="36"/>
        <v>2</v>
      </c>
      <c r="CB23" s="73">
        <f t="shared" si="37"/>
        <v>0</v>
      </c>
      <c r="CC23" s="87">
        <v>1</v>
      </c>
      <c r="CD23" s="87">
        <v>3</v>
      </c>
      <c r="CE23" s="69" t="str">
        <f t="shared" si="38"/>
        <v>2</v>
      </c>
      <c r="CF23" s="73">
        <f t="shared" si="39"/>
        <v>0</v>
      </c>
      <c r="CG23" s="87">
        <v>1</v>
      </c>
      <c r="CH23" s="87">
        <v>1</v>
      </c>
      <c r="CI23" s="69" t="str">
        <f t="shared" si="40"/>
        <v>X</v>
      </c>
      <c r="CJ23" s="73">
        <f t="shared" si="41"/>
        <v>0</v>
      </c>
      <c r="CK23" s="88">
        <v>1</v>
      </c>
      <c r="CL23" s="88">
        <v>2</v>
      </c>
      <c r="CM23" s="69" t="str">
        <f t="shared" si="42"/>
        <v>2</v>
      </c>
      <c r="CN23" s="73">
        <f t="shared" si="43"/>
        <v>0</v>
      </c>
      <c r="CO23" s="87">
        <v>0</v>
      </c>
      <c r="CP23" s="87">
        <v>2</v>
      </c>
      <c r="CQ23" s="69" t="str">
        <f t="shared" si="44"/>
        <v>2</v>
      </c>
      <c r="CR23" s="73">
        <f t="shared" si="45"/>
        <v>0</v>
      </c>
      <c r="CS23" s="87">
        <v>1</v>
      </c>
      <c r="CT23" s="87">
        <v>2</v>
      </c>
      <c r="CU23" s="69" t="str">
        <f t="shared" si="46"/>
        <v>2</v>
      </c>
      <c r="CV23" s="73">
        <f t="shared" si="47"/>
        <v>0</v>
      </c>
      <c r="CW23" s="87">
        <v>0</v>
      </c>
      <c r="CX23" s="87">
        <v>2</v>
      </c>
      <c r="CY23" s="69" t="str">
        <f t="shared" si="48"/>
        <v>2</v>
      </c>
      <c r="CZ23" s="73">
        <f t="shared" si="49"/>
        <v>0</v>
      </c>
      <c r="DA23" s="87">
        <v>0</v>
      </c>
      <c r="DB23" s="87">
        <v>2</v>
      </c>
      <c r="DC23" s="69" t="str">
        <f t="shared" si="50"/>
        <v>2</v>
      </c>
      <c r="DD23" s="73">
        <f t="shared" si="51"/>
        <v>0</v>
      </c>
      <c r="DE23" s="87">
        <v>2</v>
      </c>
      <c r="DF23" s="87">
        <v>1</v>
      </c>
      <c r="DG23" s="69" t="str">
        <f t="shared" si="52"/>
        <v>1</v>
      </c>
      <c r="DH23" s="73">
        <f t="shared" si="53"/>
        <v>0</v>
      </c>
      <c r="DI23" s="87">
        <v>0</v>
      </c>
      <c r="DJ23" s="87">
        <v>3</v>
      </c>
      <c r="DK23" s="69" t="str">
        <f t="shared" si="54"/>
        <v>2</v>
      </c>
      <c r="DL23" s="73">
        <f t="shared" si="55"/>
        <v>0</v>
      </c>
      <c r="DM23" s="87">
        <v>1</v>
      </c>
      <c r="DN23" s="87">
        <v>3</v>
      </c>
      <c r="DO23" s="69" t="str">
        <f t="shared" si="56"/>
        <v>2</v>
      </c>
      <c r="DP23" s="73">
        <f t="shared" si="57"/>
        <v>0</v>
      </c>
    </row>
    <row r="24" spans="1:120" ht="15.75" customHeight="1">
      <c r="A24" s="130">
        <v>44730</v>
      </c>
      <c r="B24" s="131" t="s">
        <v>103</v>
      </c>
      <c r="C24" s="85" t="s">
        <v>59</v>
      </c>
      <c r="D24" s="85" t="s">
        <v>61</v>
      </c>
      <c r="E24" s="84">
        <f t="shared" si="0"/>
        <v>0</v>
      </c>
      <c r="F24" s="22"/>
      <c r="G24" s="4"/>
      <c r="H24" s="76" t="b">
        <f t="shared" si="1"/>
        <v>0</v>
      </c>
      <c r="I24" s="87">
        <v>2</v>
      </c>
      <c r="J24" s="87">
        <v>1</v>
      </c>
      <c r="K24" s="69" t="str">
        <f t="shared" si="2"/>
        <v>1</v>
      </c>
      <c r="L24" s="73">
        <f t="shared" si="3"/>
        <v>0</v>
      </c>
      <c r="M24" s="87">
        <v>2</v>
      </c>
      <c r="N24" s="87">
        <v>1</v>
      </c>
      <c r="O24" s="69" t="str">
        <f t="shared" si="4"/>
        <v>1</v>
      </c>
      <c r="P24" s="73">
        <f t="shared" si="5"/>
        <v>0</v>
      </c>
      <c r="Q24" s="87">
        <v>2</v>
      </c>
      <c r="R24" s="87">
        <v>0</v>
      </c>
      <c r="S24" s="69" t="str">
        <f t="shared" si="6"/>
        <v>1</v>
      </c>
      <c r="T24" s="73">
        <f t="shared" si="7"/>
        <v>0</v>
      </c>
      <c r="U24" s="87">
        <v>1</v>
      </c>
      <c r="V24" s="87">
        <v>1</v>
      </c>
      <c r="W24" s="69" t="str">
        <f t="shared" si="8"/>
        <v>X</v>
      </c>
      <c r="X24" s="73">
        <f t="shared" si="9"/>
        <v>0</v>
      </c>
      <c r="Y24" s="87">
        <v>2</v>
      </c>
      <c r="Z24" s="87">
        <v>1</v>
      </c>
      <c r="AA24" s="69" t="str">
        <f t="shared" si="10"/>
        <v>1</v>
      </c>
      <c r="AB24" s="73">
        <f t="shared" si="11"/>
        <v>0</v>
      </c>
      <c r="AC24" s="87">
        <v>1</v>
      </c>
      <c r="AD24" s="87">
        <v>0</v>
      </c>
      <c r="AE24" s="69" t="str">
        <f t="shared" si="12"/>
        <v>1</v>
      </c>
      <c r="AF24" s="73">
        <f t="shared" si="13"/>
        <v>0</v>
      </c>
      <c r="AG24" s="87">
        <v>1</v>
      </c>
      <c r="AH24" s="87">
        <v>1</v>
      </c>
      <c r="AI24" s="69" t="str">
        <f t="shared" si="14"/>
        <v>X</v>
      </c>
      <c r="AJ24" s="73">
        <f t="shared" si="15"/>
        <v>0</v>
      </c>
      <c r="AK24" s="87">
        <v>1</v>
      </c>
      <c r="AL24" s="87">
        <v>0</v>
      </c>
      <c r="AM24" s="69" t="str">
        <f t="shared" si="16"/>
        <v>1</v>
      </c>
      <c r="AN24" s="73">
        <f t="shared" si="17"/>
        <v>0</v>
      </c>
      <c r="AO24" s="87">
        <v>1</v>
      </c>
      <c r="AP24" s="87">
        <v>0</v>
      </c>
      <c r="AQ24" s="69" t="str">
        <f t="shared" si="18"/>
        <v>1</v>
      </c>
      <c r="AR24" s="73">
        <f t="shared" si="19"/>
        <v>0</v>
      </c>
      <c r="AS24" s="88">
        <v>2</v>
      </c>
      <c r="AT24" s="88">
        <v>2</v>
      </c>
      <c r="AU24" s="69" t="str">
        <f t="shared" si="20"/>
        <v>X</v>
      </c>
      <c r="AV24" s="73">
        <f t="shared" si="21"/>
        <v>0</v>
      </c>
      <c r="AW24" s="87">
        <v>2</v>
      </c>
      <c r="AX24" s="87">
        <v>0</v>
      </c>
      <c r="AY24" s="69" t="str">
        <f t="shared" si="22"/>
        <v>1</v>
      </c>
      <c r="AZ24" s="73">
        <f t="shared" si="23"/>
        <v>0</v>
      </c>
      <c r="BA24" s="91">
        <v>2</v>
      </c>
      <c r="BB24" s="91">
        <v>0</v>
      </c>
      <c r="BC24" s="69" t="str">
        <f t="shared" si="24"/>
        <v>1</v>
      </c>
      <c r="BD24" s="73">
        <f t="shared" si="25"/>
        <v>0</v>
      </c>
      <c r="BE24" s="87">
        <v>1</v>
      </c>
      <c r="BF24" s="87">
        <v>0</v>
      </c>
      <c r="BG24" s="69" t="str">
        <f t="shared" si="26"/>
        <v>1</v>
      </c>
      <c r="BH24" s="73">
        <f t="shared" si="27"/>
        <v>0</v>
      </c>
      <c r="BI24" s="87">
        <v>2</v>
      </c>
      <c r="BJ24" s="87">
        <v>1</v>
      </c>
      <c r="BK24" s="69" t="str">
        <f t="shared" si="28"/>
        <v>1</v>
      </c>
      <c r="BL24" s="73">
        <f t="shared" si="29"/>
        <v>0</v>
      </c>
      <c r="BM24" s="87">
        <v>1</v>
      </c>
      <c r="BN24" s="87">
        <v>0</v>
      </c>
      <c r="BO24" s="69" t="str">
        <f t="shared" si="30"/>
        <v>1</v>
      </c>
      <c r="BP24" s="73">
        <f t="shared" si="31"/>
        <v>0</v>
      </c>
      <c r="BQ24" s="87">
        <v>1</v>
      </c>
      <c r="BR24" s="87">
        <v>1</v>
      </c>
      <c r="BS24" s="69" t="str">
        <f t="shared" si="32"/>
        <v>X</v>
      </c>
      <c r="BT24" s="73">
        <f t="shared" si="33"/>
        <v>0</v>
      </c>
      <c r="BU24" s="87">
        <v>3</v>
      </c>
      <c r="BV24" s="87">
        <v>1</v>
      </c>
      <c r="BW24" s="69" t="str">
        <f t="shared" si="34"/>
        <v>1</v>
      </c>
      <c r="BX24" s="73">
        <f t="shared" si="35"/>
        <v>0</v>
      </c>
      <c r="BY24" s="87">
        <v>2</v>
      </c>
      <c r="BZ24" s="87">
        <v>0</v>
      </c>
      <c r="CA24" s="69" t="str">
        <f t="shared" si="36"/>
        <v>1</v>
      </c>
      <c r="CB24" s="73">
        <f t="shared" si="37"/>
        <v>0</v>
      </c>
      <c r="CC24" s="87">
        <v>1</v>
      </c>
      <c r="CD24" s="87">
        <v>0</v>
      </c>
      <c r="CE24" s="69" t="str">
        <f t="shared" si="38"/>
        <v>1</v>
      </c>
      <c r="CF24" s="73">
        <f t="shared" si="39"/>
        <v>0</v>
      </c>
      <c r="CG24" s="87">
        <v>2</v>
      </c>
      <c r="CH24" s="87">
        <v>0</v>
      </c>
      <c r="CI24" s="69" t="str">
        <f t="shared" si="40"/>
        <v>1</v>
      </c>
      <c r="CJ24" s="73">
        <f t="shared" si="41"/>
        <v>0</v>
      </c>
      <c r="CK24" s="88">
        <v>1</v>
      </c>
      <c r="CL24" s="88">
        <v>1</v>
      </c>
      <c r="CM24" s="69" t="str">
        <f t="shared" si="42"/>
        <v>X</v>
      </c>
      <c r="CN24" s="73">
        <f t="shared" si="43"/>
        <v>0</v>
      </c>
      <c r="CO24" s="87">
        <v>2</v>
      </c>
      <c r="CP24" s="87">
        <v>0</v>
      </c>
      <c r="CQ24" s="69" t="str">
        <f t="shared" si="44"/>
        <v>1</v>
      </c>
      <c r="CR24" s="73">
        <f t="shared" si="45"/>
        <v>0</v>
      </c>
      <c r="CS24" s="87">
        <v>2</v>
      </c>
      <c r="CT24" s="87">
        <v>0</v>
      </c>
      <c r="CU24" s="69" t="str">
        <f t="shared" si="46"/>
        <v>1</v>
      </c>
      <c r="CV24" s="73">
        <f t="shared" si="47"/>
        <v>0</v>
      </c>
      <c r="CW24" s="87">
        <v>2</v>
      </c>
      <c r="CX24" s="87">
        <v>0</v>
      </c>
      <c r="CY24" s="69" t="str">
        <f t="shared" si="48"/>
        <v>1</v>
      </c>
      <c r="CZ24" s="73">
        <f t="shared" si="49"/>
        <v>0</v>
      </c>
      <c r="DA24" s="87">
        <v>3</v>
      </c>
      <c r="DB24" s="87">
        <v>1</v>
      </c>
      <c r="DC24" s="69" t="str">
        <f t="shared" si="50"/>
        <v>1</v>
      </c>
      <c r="DD24" s="73">
        <f t="shared" si="51"/>
        <v>0</v>
      </c>
      <c r="DE24" s="87">
        <v>2</v>
      </c>
      <c r="DF24" s="87">
        <v>1</v>
      </c>
      <c r="DG24" s="69" t="str">
        <f t="shared" si="52"/>
        <v>1</v>
      </c>
      <c r="DH24" s="73">
        <f t="shared" si="53"/>
        <v>0</v>
      </c>
      <c r="DI24" s="87">
        <v>3</v>
      </c>
      <c r="DJ24" s="87">
        <v>1</v>
      </c>
      <c r="DK24" s="69" t="str">
        <f t="shared" si="54"/>
        <v>1</v>
      </c>
      <c r="DL24" s="73">
        <f t="shared" si="55"/>
        <v>0</v>
      </c>
      <c r="DM24" s="87">
        <v>2</v>
      </c>
      <c r="DN24" s="87">
        <v>1</v>
      </c>
      <c r="DO24" s="69" t="str">
        <f t="shared" si="56"/>
        <v>1</v>
      </c>
      <c r="DP24" s="73">
        <f t="shared" si="57"/>
        <v>0</v>
      </c>
    </row>
    <row r="25" spans="1:120" ht="15.75" customHeight="1">
      <c r="A25" s="130">
        <v>44731</v>
      </c>
      <c r="B25" s="131" t="s">
        <v>110</v>
      </c>
      <c r="C25" s="85" t="s">
        <v>62</v>
      </c>
      <c r="D25" s="85" t="s">
        <v>60</v>
      </c>
      <c r="E25" s="84">
        <f t="shared" si="0"/>
        <v>0</v>
      </c>
      <c r="F25" s="22"/>
      <c r="G25" s="4"/>
      <c r="H25" s="76" t="b">
        <f t="shared" si="1"/>
        <v>0</v>
      </c>
      <c r="I25" s="87">
        <v>1</v>
      </c>
      <c r="J25" s="87">
        <v>0</v>
      </c>
      <c r="K25" s="69" t="str">
        <f t="shared" si="2"/>
        <v>1</v>
      </c>
      <c r="L25" s="73">
        <f t="shared" si="3"/>
        <v>0</v>
      </c>
      <c r="M25" s="87">
        <v>2</v>
      </c>
      <c r="N25" s="87">
        <v>2</v>
      </c>
      <c r="O25" s="69" t="str">
        <f t="shared" si="4"/>
        <v>X</v>
      </c>
      <c r="P25" s="73">
        <f t="shared" si="5"/>
        <v>0</v>
      </c>
      <c r="Q25" s="87">
        <v>1</v>
      </c>
      <c r="R25" s="87">
        <v>1</v>
      </c>
      <c r="S25" s="69" t="str">
        <f t="shared" si="6"/>
        <v>X</v>
      </c>
      <c r="T25" s="73">
        <f t="shared" si="7"/>
        <v>0</v>
      </c>
      <c r="U25" s="87">
        <v>1</v>
      </c>
      <c r="V25" s="87">
        <v>1</v>
      </c>
      <c r="W25" s="69" t="str">
        <f t="shared" si="8"/>
        <v>X</v>
      </c>
      <c r="X25" s="73">
        <f t="shared" si="9"/>
        <v>0</v>
      </c>
      <c r="Y25" s="87">
        <v>1</v>
      </c>
      <c r="Z25" s="87">
        <v>1</v>
      </c>
      <c r="AA25" s="69" t="str">
        <f t="shared" si="10"/>
        <v>X</v>
      </c>
      <c r="AB25" s="73">
        <f t="shared" si="11"/>
        <v>0</v>
      </c>
      <c r="AC25" s="87">
        <v>2</v>
      </c>
      <c r="AD25" s="87">
        <v>0</v>
      </c>
      <c r="AE25" s="69" t="str">
        <f t="shared" si="12"/>
        <v>1</v>
      </c>
      <c r="AF25" s="73">
        <f t="shared" si="13"/>
        <v>0</v>
      </c>
      <c r="AG25" s="87">
        <v>1</v>
      </c>
      <c r="AH25" s="87">
        <v>1</v>
      </c>
      <c r="AI25" s="69" t="str">
        <f t="shared" si="14"/>
        <v>X</v>
      </c>
      <c r="AJ25" s="73">
        <f t="shared" si="15"/>
        <v>0</v>
      </c>
      <c r="AK25" s="87">
        <v>1</v>
      </c>
      <c r="AL25" s="87">
        <v>1</v>
      </c>
      <c r="AM25" s="69" t="str">
        <f t="shared" si="16"/>
        <v>X</v>
      </c>
      <c r="AN25" s="73">
        <f t="shared" si="17"/>
        <v>0</v>
      </c>
      <c r="AO25" s="87">
        <v>1</v>
      </c>
      <c r="AP25" s="87">
        <v>1</v>
      </c>
      <c r="AQ25" s="69" t="str">
        <f t="shared" si="18"/>
        <v>X</v>
      </c>
      <c r="AR25" s="73">
        <f t="shared" si="19"/>
        <v>0</v>
      </c>
      <c r="AS25" s="88">
        <v>1</v>
      </c>
      <c r="AT25" s="88">
        <v>1</v>
      </c>
      <c r="AU25" s="69" t="str">
        <f t="shared" si="20"/>
        <v>X</v>
      </c>
      <c r="AV25" s="73">
        <f t="shared" si="21"/>
        <v>0</v>
      </c>
      <c r="AW25" s="87">
        <v>1</v>
      </c>
      <c r="AX25" s="87">
        <v>1</v>
      </c>
      <c r="AY25" s="69" t="str">
        <f t="shared" si="22"/>
        <v>X</v>
      </c>
      <c r="AZ25" s="73">
        <f t="shared" si="23"/>
        <v>0</v>
      </c>
      <c r="BA25" s="91">
        <v>1</v>
      </c>
      <c r="BB25" s="91">
        <v>2</v>
      </c>
      <c r="BC25" s="69" t="str">
        <f t="shared" si="24"/>
        <v>2</v>
      </c>
      <c r="BD25" s="73">
        <f t="shared" si="25"/>
        <v>0</v>
      </c>
      <c r="BE25" s="87">
        <v>3</v>
      </c>
      <c r="BF25" s="87">
        <v>1</v>
      </c>
      <c r="BG25" s="69" t="str">
        <f t="shared" si="26"/>
        <v>1</v>
      </c>
      <c r="BH25" s="73">
        <f t="shared" si="27"/>
        <v>0</v>
      </c>
      <c r="BI25" s="87">
        <v>2</v>
      </c>
      <c r="BJ25" s="87">
        <v>1</v>
      </c>
      <c r="BK25" s="69" t="str">
        <f t="shared" si="28"/>
        <v>1</v>
      </c>
      <c r="BL25" s="73">
        <f t="shared" si="29"/>
        <v>0</v>
      </c>
      <c r="BM25" s="87">
        <v>2</v>
      </c>
      <c r="BN25" s="87">
        <v>1</v>
      </c>
      <c r="BO25" s="69" t="str">
        <f t="shared" si="30"/>
        <v>1</v>
      </c>
      <c r="BP25" s="73">
        <f t="shared" si="31"/>
        <v>0</v>
      </c>
      <c r="BQ25" s="87">
        <v>2</v>
      </c>
      <c r="BR25" s="87">
        <v>0</v>
      </c>
      <c r="BS25" s="69" t="str">
        <f t="shared" si="32"/>
        <v>1</v>
      </c>
      <c r="BT25" s="73">
        <f t="shared" si="33"/>
        <v>0</v>
      </c>
      <c r="BU25" s="87">
        <v>2</v>
      </c>
      <c r="BV25" s="87">
        <v>0</v>
      </c>
      <c r="BW25" s="69" t="str">
        <f t="shared" si="34"/>
        <v>1</v>
      </c>
      <c r="BX25" s="73">
        <f t="shared" si="35"/>
        <v>0</v>
      </c>
      <c r="BY25" s="87">
        <v>1</v>
      </c>
      <c r="BZ25" s="87">
        <v>0</v>
      </c>
      <c r="CA25" s="69" t="str">
        <f t="shared" si="36"/>
        <v>1</v>
      </c>
      <c r="CB25" s="73">
        <f t="shared" si="37"/>
        <v>0</v>
      </c>
      <c r="CC25" s="87">
        <v>2</v>
      </c>
      <c r="CD25" s="87">
        <v>0</v>
      </c>
      <c r="CE25" s="69" t="str">
        <f t="shared" si="38"/>
        <v>1</v>
      </c>
      <c r="CF25" s="73">
        <f t="shared" si="39"/>
        <v>0</v>
      </c>
      <c r="CG25" s="87">
        <v>2</v>
      </c>
      <c r="CH25" s="87">
        <v>1</v>
      </c>
      <c r="CI25" s="69" t="str">
        <f t="shared" si="40"/>
        <v>1</v>
      </c>
      <c r="CJ25" s="73">
        <f t="shared" si="41"/>
        <v>0</v>
      </c>
      <c r="CK25" s="88">
        <v>2</v>
      </c>
      <c r="CL25" s="88">
        <v>2</v>
      </c>
      <c r="CM25" s="69" t="str">
        <f t="shared" si="42"/>
        <v>X</v>
      </c>
      <c r="CN25" s="73">
        <f t="shared" si="43"/>
        <v>0</v>
      </c>
      <c r="CO25" s="87">
        <v>0</v>
      </c>
      <c r="CP25" s="87">
        <v>0</v>
      </c>
      <c r="CQ25" s="69" t="str">
        <f t="shared" si="44"/>
        <v>X</v>
      </c>
      <c r="CR25" s="73">
        <f t="shared" si="45"/>
        <v>0</v>
      </c>
      <c r="CS25" s="87">
        <v>1</v>
      </c>
      <c r="CT25" s="87">
        <v>0</v>
      </c>
      <c r="CU25" s="69" t="str">
        <f t="shared" si="46"/>
        <v>1</v>
      </c>
      <c r="CV25" s="73">
        <f t="shared" si="47"/>
        <v>0</v>
      </c>
      <c r="CW25" s="87">
        <v>2</v>
      </c>
      <c r="CX25" s="87">
        <v>1</v>
      </c>
      <c r="CY25" s="69" t="str">
        <f t="shared" si="48"/>
        <v>1</v>
      </c>
      <c r="CZ25" s="73">
        <f t="shared" si="49"/>
        <v>0</v>
      </c>
      <c r="DA25" s="87">
        <v>1</v>
      </c>
      <c r="DB25" s="87">
        <v>1</v>
      </c>
      <c r="DC25" s="69" t="str">
        <f t="shared" si="50"/>
        <v>X</v>
      </c>
      <c r="DD25" s="73">
        <f t="shared" si="51"/>
        <v>0</v>
      </c>
      <c r="DE25" s="87">
        <v>1</v>
      </c>
      <c r="DF25" s="87">
        <v>0</v>
      </c>
      <c r="DG25" s="69" t="str">
        <f t="shared" si="52"/>
        <v>1</v>
      </c>
      <c r="DH25" s="73">
        <f t="shared" si="53"/>
        <v>0</v>
      </c>
      <c r="DI25" s="87">
        <v>2</v>
      </c>
      <c r="DJ25" s="87">
        <v>0</v>
      </c>
      <c r="DK25" s="69" t="str">
        <f t="shared" si="54"/>
        <v>1</v>
      </c>
      <c r="DL25" s="73">
        <f t="shared" si="55"/>
        <v>0</v>
      </c>
      <c r="DM25" s="87">
        <v>2</v>
      </c>
      <c r="DN25" s="87">
        <v>2</v>
      </c>
      <c r="DO25" s="69" t="str">
        <f t="shared" si="56"/>
        <v>X</v>
      </c>
      <c r="DP25" s="73">
        <f t="shared" si="57"/>
        <v>0</v>
      </c>
    </row>
    <row r="26" spans="1:120" ht="15.75" customHeight="1">
      <c r="A26" s="130">
        <v>44737</v>
      </c>
      <c r="B26" s="131" t="s">
        <v>104</v>
      </c>
      <c r="C26" s="85" t="s">
        <v>62</v>
      </c>
      <c r="D26" s="85" t="s">
        <v>59</v>
      </c>
      <c r="E26" s="84">
        <f t="shared" si="0"/>
        <v>0</v>
      </c>
      <c r="F26" s="22"/>
      <c r="G26" s="4"/>
      <c r="H26" s="76" t="b">
        <f t="shared" si="1"/>
        <v>0</v>
      </c>
      <c r="I26" s="87"/>
      <c r="J26" s="87"/>
      <c r="K26" s="69" t="str">
        <f t="shared" si="2"/>
        <v>X</v>
      </c>
      <c r="L26" s="73">
        <f t="shared" si="3"/>
        <v>0</v>
      </c>
      <c r="M26" s="87"/>
      <c r="N26" s="87"/>
      <c r="O26" s="69" t="str">
        <f t="shared" si="4"/>
        <v>X</v>
      </c>
      <c r="P26" s="73">
        <f t="shared" si="5"/>
        <v>0</v>
      </c>
      <c r="Q26" s="87"/>
      <c r="R26" s="87"/>
      <c r="S26" s="69" t="str">
        <f t="shared" si="6"/>
        <v>X</v>
      </c>
      <c r="T26" s="73">
        <f t="shared" si="7"/>
        <v>0</v>
      </c>
      <c r="U26" s="87"/>
      <c r="V26" s="87"/>
      <c r="W26" s="69" t="str">
        <f t="shared" si="8"/>
        <v>X</v>
      </c>
      <c r="X26" s="73">
        <f t="shared" si="9"/>
        <v>0</v>
      </c>
      <c r="Y26" s="87"/>
      <c r="Z26" s="87"/>
      <c r="AA26" s="69" t="str">
        <f t="shared" si="10"/>
        <v>X</v>
      </c>
      <c r="AB26" s="73">
        <f t="shared" si="11"/>
        <v>0</v>
      </c>
      <c r="AC26" s="87"/>
      <c r="AD26" s="87"/>
      <c r="AE26" s="69" t="str">
        <f t="shared" si="12"/>
        <v>X</v>
      </c>
      <c r="AF26" s="73">
        <f t="shared" si="13"/>
        <v>0</v>
      </c>
      <c r="AG26" s="87"/>
      <c r="AH26" s="87"/>
      <c r="AI26" s="69" t="str">
        <f t="shared" si="14"/>
        <v>X</v>
      </c>
      <c r="AJ26" s="73">
        <f t="shared" si="15"/>
        <v>0</v>
      </c>
      <c r="AK26" s="87"/>
      <c r="AL26" s="87"/>
      <c r="AM26" s="69" t="str">
        <f t="shared" si="16"/>
        <v>X</v>
      </c>
      <c r="AN26" s="73">
        <f t="shared" si="17"/>
        <v>0</v>
      </c>
      <c r="AO26" s="87"/>
      <c r="AP26" s="87"/>
      <c r="AQ26" s="69" t="str">
        <f t="shared" si="18"/>
        <v>X</v>
      </c>
      <c r="AR26" s="73">
        <f t="shared" si="19"/>
        <v>0</v>
      </c>
      <c r="AS26" s="88"/>
      <c r="AT26" s="88"/>
      <c r="AU26" s="69" t="str">
        <f t="shared" si="20"/>
        <v>X</v>
      </c>
      <c r="AV26" s="73">
        <f t="shared" si="21"/>
        <v>0</v>
      </c>
      <c r="AW26" s="87"/>
      <c r="AX26" s="87"/>
      <c r="AY26" s="69" t="str">
        <f t="shared" si="22"/>
        <v>X</v>
      </c>
      <c r="AZ26" s="73">
        <f t="shared" si="23"/>
        <v>0</v>
      </c>
      <c r="BA26" s="91"/>
      <c r="BB26" s="91"/>
      <c r="BC26" s="69" t="str">
        <f t="shared" si="24"/>
        <v>X</v>
      </c>
      <c r="BD26" s="73">
        <f t="shared" si="25"/>
        <v>0</v>
      </c>
      <c r="BE26" s="87"/>
      <c r="BF26" s="87"/>
      <c r="BG26" s="69" t="str">
        <f t="shared" si="26"/>
        <v>X</v>
      </c>
      <c r="BH26" s="73">
        <f t="shared" si="27"/>
        <v>0</v>
      </c>
      <c r="BI26" s="87"/>
      <c r="BJ26" s="87"/>
      <c r="BK26" s="69" t="str">
        <f t="shared" si="28"/>
        <v>X</v>
      </c>
      <c r="BL26" s="73">
        <f t="shared" si="29"/>
        <v>0</v>
      </c>
      <c r="BM26" s="87"/>
      <c r="BN26" s="87"/>
      <c r="BO26" s="69" t="str">
        <f t="shared" si="30"/>
        <v>X</v>
      </c>
      <c r="BP26" s="73">
        <f t="shared" si="31"/>
        <v>0</v>
      </c>
      <c r="BQ26" s="87"/>
      <c r="BR26" s="87"/>
      <c r="BS26" s="69" t="str">
        <f t="shared" si="32"/>
        <v>X</v>
      </c>
      <c r="BT26" s="73">
        <f t="shared" si="33"/>
        <v>0</v>
      </c>
      <c r="BU26" s="87"/>
      <c r="BV26" s="87"/>
      <c r="BW26" s="69" t="str">
        <f t="shared" si="34"/>
        <v>X</v>
      </c>
      <c r="BX26" s="73">
        <f t="shared" si="35"/>
        <v>0</v>
      </c>
      <c r="BY26" s="87"/>
      <c r="BZ26" s="87"/>
      <c r="CA26" s="69" t="str">
        <f t="shared" si="36"/>
        <v>X</v>
      </c>
      <c r="CB26" s="73">
        <f t="shared" si="37"/>
        <v>0</v>
      </c>
      <c r="CC26" s="87"/>
      <c r="CD26" s="87"/>
      <c r="CE26" s="69" t="str">
        <f t="shared" si="38"/>
        <v>X</v>
      </c>
      <c r="CF26" s="73">
        <f t="shared" si="39"/>
        <v>0</v>
      </c>
      <c r="CG26" s="87"/>
      <c r="CH26" s="87"/>
      <c r="CI26" s="69" t="str">
        <f t="shared" si="40"/>
        <v>X</v>
      </c>
      <c r="CJ26" s="73">
        <f t="shared" si="41"/>
        <v>0</v>
      </c>
      <c r="CK26" s="88"/>
      <c r="CL26" s="88"/>
      <c r="CM26" s="69" t="str">
        <f t="shared" si="42"/>
        <v>X</v>
      </c>
      <c r="CN26" s="73">
        <f t="shared" si="43"/>
        <v>0</v>
      </c>
      <c r="CO26" s="87"/>
      <c r="CP26" s="87"/>
      <c r="CQ26" s="69" t="str">
        <f t="shared" si="44"/>
        <v>X</v>
      </c>
      <c r="CR26" s="73">
        <f t="shared" si="45"/>
        <v>0</v>
      </c>
      <c r="CS26" s="87"/>
      <c r="CT26" s="87"/>
      <c r="CU26" s="69" t="str">
        <f t="shared" si="46"/>
        <v>X</v>
      </c>
      <c r="CV26" s="73">
        <f t="shared" si="47"/>
        <v>0</v>
      </c>
      <c r="CW26" s="87"/>
      <c r="CX26" s="87"/>
      <c r="CY26" s="69" t="str">
        <f t="shared" si="48"/>
        <v>X</v>
      </c>
      <c r="CZ26" s="73">
        <f t="shared" si="49"/>
        <v>0</v>
      </c>
      <c r="DA26" s="87"/>
      <c r="DB26" s="87"/>
      <c r="DC26" s="69" t="str">
        <f t="shared" si="50"/>
        <v>X</v>
      </c>
      <c r="DD26" s="73">
        <f t="shared" si="51"/>
        <v>0</v>
      </c>
      <c r="DE26" s="87"/>
      <c r="DF26" s="87"/>
      <c r="DG26" s="69" t="str">
        <f t="shared" si="52"/>
        <v>X</v>
      </c>
      <c r="DH26" s="73">
        <f t="shared" si="53"/>
        <v>0</v>
      </c>
      <c r="DI26" s="87"/>
      <c r="DJ26" s="87"/>
      <c r="DK26" s="69" t="str">
        <f t="shared" si="54"/>
        <v>X</v>
      </c>
      <c r="DL26" s="73">
        <f t="shared" si="55"/>
        <v>0</v>
      </c>
      <c r="DM26" s="87"/>
      <c r="DN26" s="87"/>
      <c r="DO26" s="69" t="str">
        <f t="shared" si="56"/>
        <v>X</v>
      </c>
      <c r="DP26" s="73">
        <f t="shared" si="57"/>
        <v>0</v>
      </c>
    </row>
    <row r="27" spans="1:120" ht="15.75" customHeight="1" thickBot="1">
      <c r="A27" s="130">
        <v>44737</v>
      </c>
      <c r="B27" s="131" t="s">
        <v>104</v>
      </c>
      <c r="C27" s="85" t="s">
        <v>60</v>
      </c>
      <c r="D27" s="85" t="s">
        <v>61</v>
      </c>
      <c r="E27" s="84">
        <f t="shared" si="0"/>
        <v>0</v>
      </c>
      <c r="F27" s="23"/>
      <c r="G27" s="5"/>
      <c r="H27" s="77" t="b">
        <f t="shared" si="1"/>
        <v>0</v>
      </c>
      <c r="I27" s="87"/>
      <c r="J27" s="87"/>
      <c r="K27" s="70" t="str">
        <f t="shared" si="2"/>
        <v>X</v>
      </c>
      <c r="L27" s="74">
        <f t="shared" si="3"/>
        <v>0</v>
      </c>
      <c r="M27" s="87"/>
      <c r="N27" s="87"/>
      <c r="O27" s="70" t="str">
        <f t="shared" si="4"/>
        <v>X</v>
      </c>
      <c r="P27" s="74">
        <f t="shared" si="5"/>
        <v>0</v>
      </c>
      <c r="Q27" s="87"/>
      <c r="R27" s="87"/>
      <c r="S27" s="70" t="str">
        <f t="shared" si="6"/>
        <v>X</v>
      </c>
      <c r="T27" s="74">
        <f t="shared" si="7"/>
        <v>0</v>
      </c>
      <c r="U27" s="87"/>
      <c r="V27" s="87"/>
      <c r="W27" s="70" t="str">
        <f t="shared" si="8"/>
        <v>X</v>
      </c>
      <c r="X27" s="74">
        <f t="shared" si="9"/>
        <v>0</v>
      </c>
      <c r="Y27" s="87"/>
      <c r="Z27" s="87"/>
      <c r="AA27" s="70" t="str">
        <f t="shared" si="10"/>
        <v>X</v>
      </c>
      <c r="AB27" s="74">
        <f t="shared" si="11"/>
        <v>0</v>
      </c>
      <c r="AC27" s="87"/>
      <c r="AD27" s="87"/>
      <c r="AE27" s="70" t="str">
        <f t="shared" si="12"/>
        <v>X</v>
      </c>
      <c r="AF27" s="74">
        <f t="shared" si="13"/>
        <v>0</v>
      </c>
      <c r="AG27" s="87"/>
      <c r="AH27" s="87"/>
      <c r="AI27" s="70" t="str">
        <f t="shared" si="14"/>
        <v>X</v>
      </c>
      <c r="AJ27" s="74">
        <f t="shared" si="15"/>
        <v>0</v>
      </c>
      <c r="AK27" s="87"/>
      <c r="AL27" s="87"/>
      <c r="AM27" s="70" t="str">
        <f t="shared" si="16"/>
        <v>X</v>
      </c>
      <c r="AN27" s="74">
        <f t="shared" si="17"/>
        <v>0</v>
      </c>
      <c r="AO27" s="87"/>
      <c r="AP27" s="87"/>
      <c r="AQ27" s="70" t="str">
        <f t="shared" si="18"/>
        <v>X</v>
      </c>
      <c r="AR27" s="74">
        <f t="shared" si="19"/>
        <v>0</v>
      </c>
      <c r="AS27" s="88"/>
      <c r="AT27" s="88"/>
      <c r="AU27" s="70" t="str">
        <f t="shared" si="20"/>
        <v>X</v>
      </c>
      <c r="AV27" s="74">
        <f t="shared" si="21"/>
        <v>0</v>
      </c>
      <c r="AW27" s="87"/>
      <c r="AX27" s="87"/>
      <c r="AY27" s="70" t="str">
        <f t="shared" si="22"/>
        <v>X</v>
      </c>
      <c r="AZ27" s="74">
        <f t="shared" si="23"/>
        <v>0</v>
      </c>
      <c r="BA27" s="91"/>
      <c r="BB27" s="91"/>
      <c r="BC27" s="70" t="str">
        <f t="shared" si="24"/>
        <v>X</v>
      </c>
      <c r="BD27" s="74">
        <f t="shared" si="25"/>
        <v>0</v>
      </c>
      <c r="BE27" s="87"/>
      <c r="BF27" s="87"/>
      <c r="BG27" s="70" t="str">
        <f t="shared" si="26"/>
        <v>X</v>
      </c>
      <c r="BH27" s="74">
        <f t="shared" si="27"/>
        <v>0</v>
      </c>
      <c r="BI27" s="87"/>
      <c r="BJ27" s="87"/>
      <c r="BK27" s="70" t="str">
        <f t="shared" si="28"/>
        <v>X</v>
      </c>
      <c r="BL27" s="74">
        <f t="shared" si="29"/>
        <v>0</v>
      </c>
      <c r="BM27" s="87"/>
      <c r="BN27" s="87"/>
      <c r="BO27" s="70" t="str">
        <f t="shared" si="30"/>
        <v>X</v>
      </c>
      <c r="BP27" s="74">
        <f t="shared" si="31"/>
        <v>0</v>
      </c>
      <c r="BQ27" s="87"/>
      <c r="BR27" s="87"/>
      <c r="BS27" s="70" t="str">
        <f t="shared" si="32"/>
        <v>X</v>
      </c>
      <c r="BT27" s="74">
        <f t="shared" si="33"/>
        <v>0</v>
      </c>
      <c r="BU27" s="87"/>
      <c r="BV27" s="87"/>
      <c r="BW27" s="70" t="str">
        <f t="shared" si="34"/>
        <v>X</v>
      </c>
      <c r="BX27" s="74">
        <f t="shared" si="35"/>
        <v>0</v>
      </c>
      <c r="BY27" s="87"/>
      <c r="BZ27" s="87"/>
      <c r="CA27" s="70" t="str">
        <f t="shared" si="36"/>
        <v>X</v>
      </c>
      <c r="CB27" s="74">
        <f t="shared" si="37"/>
        <v>0</v>
      </c>
      <c r="CC27" s="87"/>
      <c r="CD27" s="87"/>
      <c r="CE27" s="70" t="str">
        <f t="shared" si="38"/>
        <v>X</v>
      </c>
      <c r="CF27" s="74">
        <f t="shared" si="39"/>
        <v>0</v>
      </c>
      <c r="CG27" s="87"/>
      <c r="CH27" s="87"/>
      <c r="CI27" s="70" t="str">
        <f t="shared" si="40"/>
        <v>X</v>
      </c>
      <c r="CJ27" s="74">
        <f t="shared" si="41"/>
        <v>0</v>
      </c>
      <c r="CK27" s="88"/>
      <c r="CL27" s="88"/>
      <c r="CM27" s="70" t="str">
        <f t="shared" si="42"/>
        <v>X</v>
      </c>
      <c r="CN27" s="74">
        <f t="shared" si="43"/>
        <v>0</v>
      </c>
      <c r="CO27" s="87"/>
      <c r="CP27" s="87"/>
      <c r="CQ27" s="70" t="str">
        <f t="shared" si="44"/>
        <v>X</v>
      </c>
      <c r="CR27" s="74">
        <f t="shared" si="45"/>
        <v>0</v>
      </c>
      <c r="CS27" s="87"/>
      <c r="CT27" s="87"/>
      <c r="CU27" s="70" t="str">
        <f t="shared" si="46"/>
        <v>X</v>
      </c>
      <c r="CV27" s="74">
        <f t="shared" si="47"/>
        <v>0</v>
      </c>
      <c r="CW27" s="87"/>
      <c r="CX27" s="87"/>
      <c r="CY27" s="70" t="str">
        <f t="shared" si="48"/>
        <v>X</v>
      </c>
      <c r="CZ27" s="74">
        <f t="shared" si="49"/>
        <v>0</v>
      </c>
      <c r="DA27" s="87"/>
      <c r="DB27" s="87"/>
      <c r="DC27" s="70" t="str">
        <f t="shared" si="50"/>
        <v>X</v>
      </c>
      <c r="DD27" s="74">
        <f t="shared" si="51"/>
        <v>0</v>
      </c>
      <c r="DE27" s="87"/>
      <c r="DF27" s="87"/>
      <c r="DG27" s="70" t="str">
        <f t="shared" si="52"/>
        <v>X</v>
      </c>
      <c r="DH27" s="74">
        <f t="shared" si="53"/>
        <v>0</v>
      </c>
      <c r="DI27" s="87"/>
      <c r="DJ27" s="87"/>
      <c r="DK27" s="70" t="str">
        <f t="shared" si="54"/>
        <v>X</v>
      </c>
      <c r="DL27" s="74">
        <f t="shared" si="55"/>
        <v>0</v>
      </c>
      <c r="DM27" s="87"/>
      <c r="DN27" s="87"/>
      <c r="DO27" s="70" t="str">
        <f t="shared" si="56"/>
        <v>X</v>
      </c>
      <c r="DP27" s="74">
        <f t="shared" si="57"/>
        <v>0</v>
      </c>
    </row>
    <row r="28" spans="1:120" ht="16" customHeight="1" thickBot="1">
      <c r="A28" s="130">
        <v>44725</v>
      </c>
      <c r="B28" s="131" t="s">
        <v>111</v>
      </c>
      <c r="C28" s="85" t="s">
        <v>63</v>
      </c>
      <c r="D28" s="85" t="s">
        <v>64</v>
      </c>
      <c r="E28" s="84">
        <f t="shared" si="0"/>
        <v>0</v>
      </c>
      <c r="F28" s="23"/>
      <c r="G28" s="5"/>
      <c r="H28" s="77" t="b">
        <f t="shared" si="1"/>
        <v>0</v>
      </c>
      <c r="I28" s="87">
        <v>4</v>
      </c>
      <c r="J28" s="87">
        <v>0</v>
      </c>
      <c r="K28" s="70" t="str">
        <f t="shared" si="2"/>
        <v>1</v>
      </c>
      <c r="L28" s="74">
        <f t="shared" si="3"/>
        <v>0</v>
      </c>
      <c r="M28" s="87">
        <v>3</v>
      </c>
      <c r="N28" s="87">
        <v>0</v>
      </c>
      <c r="O28" s="70" t="str">
        <f t="shared" si="4"/>
        <v>1</v>
      </c>
      <c r="P28" s="74">
        <f t="shared" si="5"/>
        <v>0</v>
      </c>
      <c r="Q28" s="87">
        <v>5</v>
      </c>
      <c r="R28" s="87">
        <v>0</v>
      </c>
      <c r="S28" s="70" t="str">
        <f t="shared" si="6"/>
        <v>1</v>
      </c>
      <c r="T28" s="74">
        <f t="shared" si="7"/>
        <v>0</v>
      </c>
      <c r="U28" s="87">
        <v>4</v>
      </c>
      <c r="V28" s="87">
        <v>0</v>
      </c>
      <c r="W28" s="70" t="str">
        <f t="shared" si="8"/>
        <v>1</v>
      </c>
      <c r="X28" s="74">
        <f t="shared" si="9"/>
        <v>0</v>
      </c>
      <c r="Y28" s="87">
        <v>7</v>
      </c>
      <c r="Z28" s="87">
        <v>0</v>
      </c>
      <c r="AA28" s="70" t="str">
        <f t="shared" si="10"/>
        <v>1</v>
      </c>
      <c r="AB28" s="74">
        <f t="shared" si="11"/>
        <v>0</v>
      </c>
      <c r="AC28" s="87">
        <v>3</v>
      </c>
      <c r="AD28" s="87">
        <v>0</v>
      </c>
      <c r="AE28" s="70" t="str">
        <f t="shared" si="12"/>
        <v>1</v>
      </c>
      <c r="AF28" s="74">
        <f t="shared" si="13"/>
        <v>0</v>
      </c>
      <c r="AG28" s="87">
        <v>5</v>
      </c>
      <c r="AH28" s="87">
        <v>0</v>
      </c>
      <c r="AI28" s="70" t="str">
        <f t="shared" si="14"/>
        <v>1</v>
      </c>
      <c r="AJ28" s="74">
        <f t="shared" si="15"/>
        <v>0</v>
      </c>
      <c r="AK28" s="87">
        <v>8</v>
      </c>
      <c r="AL28" s="87">
        <v>0</v>
      </c>
      <c r="AM28" s="70" t="str">
        <f t="shared" si="16"/>
        <v>1</v>
      </c>
      <c r="AN28" s="74">
        <f t="shared" si="17"/>
        <v>0</v>
      </c>
      <c r="AO28" s="87">
        <v>7</v>
      </c>
      <c r="AP28" s="87">
        <v>0</v>
      </c>
      <c r="AQ28" s="70" t="str">
        <f t="shared" si="18"/>
        <v>1</v>
      </c>
      <c r="AR28" s="74">
        <f t="shared" si="19"/>
        <v>0</v>
      </c>
      <c r="AS28" s="88">
        <v>5</v>
      </c>
      <c r="AT28" s="88">
        <v>0</v>
      </c>
      <c r="AU28" s="70" t="str">
        <f t="shared" si="20"/>
        <v>1</v>
      </c>
      <c r="AV28" s="74">
        <f t="shared" si="21"/>
        <v>0</v>
      </c>
      <c r="AW28" s="87">
        <v>4</v>
      </c>
      <c r="AX28" s="87">
        <v>0</v>
      </c>
      <c r="AY28" s="70" t="str">
        <f t="shared" si="22"/>
        <v>1</v>
      </c>
      <c r="AZ28" s="74">
        <f t="shared" si="23"/>
        <v>0</v>
      </c>
      <c r="BA28" s="91">
        <v>3</v>
      </c>
      <c r="BB28" s="91">
        <v>0</v>
      </c>
      <c r="BC28" s="70" t="str">
        <f t="shared" si="24"/>
        <v>1</v>
      </c>
      <c r="BD28" s="74">
        <f t="shared" si="25"/>
        <v>0</v>
      </c>
      <c r="BE28" s="87">
        <v>5</v>
      </c>
      <c r="BF28" s="87">
        <v>0</v>
      </c>
      <c r="BG28" s="70" t="str">
        <f t="shared" si="26"/>
        <v>1</v>
      </c>
      <c r="BH28" s="74">
        <f t="shared" si="27"/>
        <v>0</v>
      </c>
      <c r="BI28" s="87">
        <v>3</v>
      </c>
      <c r="BJ28" s="87">
        <v>0</v>
      </c>
      <c r="BK28" s="70" t="str">
        <f t="shared" si="28"/>
        <v>1</v>
      </c>
      <c r="BL28" s="74">
        <f t="shared" si="29"/>
        <v>0</v>
      </c>
      <c r="BM28" s="87">
        <v>4</v>
      </c>
      <c r="BN28" s="87">
        <v>0</v>
      </c>
      <c r="BO28" s="70" t="str">
        <f t="shared" si="30"/>
        <v>1</v>
      </c>
      <c r="BP28" s="74">
        <f t="shared" si="31"/>
        <v>0</v>
      </c>
      <c r="BQ28" s="87">
        <v>4</v>
      </c>
      <c r="BR28" s="87">
        <v>0</v>
      </c>
      <c r="BS28" s="70" t="str">
        <f t="shared" si="32"/>
        <v>1</v>
      </c>
      <c r="BT28" s="74">
        <f t="shared" si="33"/>
        <v>0</v>
      </c>
      <c r="BU28" s="87">
        <v>4</v>
      </c>
      <c r="BV28" s="87">
        <v>0</v>
      </c>
      <c r="BW28" s="70" t="str">
        <f t="shared" si="34"/>
        <v>1</v>
      </c>
      <c r="BX28" s="74">
        <f t="shared" si="35"/>
        <v>0</v>
      </c>
      <c r="BY28" s="87">
        <v>5</v>
      </c>
      <c r="BZ28" s="87">
        <v>0</v>
      </c>
      <c r="CA28" s="70" t="str">
        <f t="shared" si="36"/>
        <v>1</v>
      </c>
      <c r="CB28" s="74">
        <f t="shared" si="37"/>
        <v>0</v>
      </c>
      <c r="CC28" s="87">
        <v>3</v>
      </c>
      <c r="CD28" s="87">
        <v>0</v>
      </c>
      <c r="CE28" s="70" t="str">
        <f t="shared" si="38"/>
        <v>1</v>
      </c>
      <c r="CF28" s="74">
        <f t="shared" si="39"/>
        <v>0</v>
      </c>
      <c r="CG28" s="87">
        <v>4</v>
      </c>
      <c r="CH28" s="87">
        <v>0</v>
      </c>
      <c r="CI28" s="70" t="str">
        <f t="shared" si="40"/>
        <v>1</v>
      </c>
      <c r="CJ28" s="74">
        <f t="shared" si="41"/>
        <v>0</v>
      </c>
      <c r="CK28" s="88">
        <v>6</v>
      </c>
      <c r="CL28" s="88">
        <v>0</v>
      </c>
      <c r="CM28" s="70" t="str">
        <f t="shared" si="42"/>
        <v>1</v>
      </c>
      <c r="CN28" s="74">
        <f t="shared" si="43"/>
        <v>0</v>
      </c>
      <c r="CO28" s="87">
        <v>3</v>
      </c>
      <c r="CP28" s="87">
        <v>0</v>
      </c>
      <c r="CQ28" s="70" t="str">
        <f t="shared" si="44"/>
        <v>1</v>
      </c>
      <c r="CR28" s="74">
        <f t="shared" si="45"/>
        <v>0</v>
      </c>
      <c r="CS28" s="87">
        <v>4</v>
      </c>
      <c r="CT28" s="87">
        <v>0</v>
      </c>
      <c r="CU28" s="70" t="str">
        <f t="shared" si="46"/>
        <v>1</v>
      </c>
      <c r="CV28" s="74">
        <f t="shared" si="47"/>
        <v>0</v>
      </c>
      <c r="CW28" s="87">
        <v>3</v>
      </c>
      <c r="CX28" s="87">
        <v>0</v>
      </c>
      <c r="CY28" s="70" t="str">
        <f t="shared" si="48"/>
        <v>1</v>
      </c>
      <c r="CZ28" s="74">
        <f t="shared" si="49"/>
        <v>0</v>
      </c>
      <c r="DA28" s="87">
        <v>3</v>
      </c>
      <c r="DB28" s="87">
        <v>0</v>
      </c>
      <c r="DC28" s="70" t="str">
        <f t="shared" si="50"/>
        <v>1</v>
      </c>
      <c r="DD28" s="74">
        <f t="shared" si="51"/>
        <v>0</v>
      </c>
      <c r="DE28" s="87">
        <v>6</v>
      </c>
      <c r="DF28" s="87">
        <v>0</v>
      </c>
      <c r="DG28" s="70" t="str">
        <f t="shared" si="52"/>
        <v>1</v>
      </c>
      <c r="DH28" s="74">
        <f t="shared" si="53"/>
        <v>0</v>
      </c>
      <c r="DI28" s="87">
        <v>5</v>
      </c>
      <c r="DJ28" s="87">
        <v>0</v>
      </c>
      <c r="DK28" s="70" t="str">
        <f t="shared" si="54"/>
        <v>1</v>
      </c>
      <c r="DL28" s="74">
        <f t="shared" si="55"/>
        <v>0</v>
      </c>
      <c r="DM28" s="87">
        <v>6</v>
      </c>
      <c r="DN28" s="87">
        <v>0</v>
      </c>
      <c r="DO28" s="70" t="str">
        <f t="shared" si="56"/>
        <v>1</v>
      </c>
      <c r="DP28" s="74">
        <f t="shared" si="57"/>
        <v>0</v>
      </c>
    </row>
    <row r="29" spans="1:120" ht="16" customHeight="1" thickBot="1">
      <c r="A29" s="130">
        <v>44726</v>
      </c>
      <c r="B29" s="131" t="s">
        <v>112</v>
      </c>
      <c r="C29" s="85" t="s">
        <v>65</v>
      </c>
      <c r="D29" s="85" t="s">
        <v>66</v>
      </c>
      <c r="E29" s="84">
        <f t="shared" si="0"/>
        <v>0</v>
      </c>
      <c r="F29" s="23"/>
      <c r="G29" s="5"/>
      <c r="H29" s="77" t="b">
        <f t="shared" si="1"/>
        <v>0</v>
      </c>
      <c r="I29" s="87">
        <v>2</v>
      </c>
      <c r="J29" s="87">
        <v>1</v>
      </c>
      <c r="K29" s="70" t="str">
        <f t="shared" si="2"/>
        <v>1</v>
      </c>
      <c r="L29" s="74">
        <f t="shared" si="3"/>
        <v>0</v>
      </c>
      <c r="M29" s="87">
        <v>1</v>
      </c>
      <c r="N29" s="87">
        <v>1</v>
      </c>
      <c r="O29" s="70" t="str">
        <f t="shared" si="4"/>
        <v>X</v>
      </c>
      <c r="P29" s="74">
        <f t="shared" si="5"/>
        <v>0</v>
      </c>
      <c r="Q29" s="87">
        <v>1</v>
      </c>
      <c r="R29" s="87">
        <v>1</v>
      </c>
      <c r="S29" s="70" t="str">
        <f t="shared" si="6"/>
        <v>X</v>
      </c>
      <c r="T29" s="74">
        <f t="shared" si="7"/>
        <v>0</v>
      </c>
      <c r="U29" s="87">
        <v>1</v>
      </c>
      <c r="V29" s="87">
        <v>1</v>
      </c>
      <c r="W29" s="70" t="str">
        <f t="shared" si="8"/>
        <v>X</v>
      </c>
      <c r="X29" s="74">
        <f t="shared" si="9"/>
        <v>0</v>
      </c>
      <c r="Y29" s="87">
        <v>3</v>
      </c>
      <c r="Z29" s="87">
        <v>2</v>
      </c>
      <c r="AA29" s="70" t="str">
        <f t="shared" si="10"/>
        <v>1</v>
      </c>
      <c r="AB29" s="74">
        <f t="shared" si="11"/>
        <v>0</v>
      </c>
      <c r="AC29" s="87">
        <v>2</v>
      </c>
      <c r="AD29" s="87">
        <v>1</v>
      </c>
      <c r="AE29" s="70" t="str">
        <f t="shared" si="12"/>
        <v>1</v>
      </c>
      <c r="AF29" s="74">
        <f t="shared" si="13"/>
        <v>0</v>
      </c>
      <c r="AG29" s="87">
        <v>1</v>
      </c>
      <c r="AH29" s="87">
        <v>1</v>
      </c>
      <c r="AI29" s="70" t="str">
        <f t="shared" si="14"/>
        <v>X</v>
      </c>
      <c r="AJ29" s="74">
        <f t="shared" si="15"/>
        <v>0</v>
      </c>
      <c r="AK29" s="87">
        <v>2</v>
      </c>
      <c r="AL29" s="87">
        <v>2</v>
      </c>
      <c r="AM29" s="70" t="str">
        <f t="shared" si="16"/>
        <v>X</v>
      </c>
      <c r="AN29" s="74">
        <f t="shared" si="17"/>
        <v>0</v>
      </c>
      <c r="AO29" s="87">
        <v>0</v>
      </c>
      <c r="AP29" s="87">
        <v>1</v>
      </c>
      <c r="AQ29" s="70" t="str">
        <f t="shared" si="18"/>
        <v>2</v>
      </c>
      <c r="AR29" s="74">
        <f t="shared" si="19"/>
        <v>0</v>
      </c>
      <c r="AS29" s="88">
        <v>0</v>
      </c>
      <c r="AT29" s="88">
        <v>0</v>
      </c>
      <c r="AU29" s="70" t="str">
        <f t="shared" si="20"/>
        <v>X</v>
      </c>
      <c r="AV29" s="74">
        <f t="shared" si="21"/>
        <v>0</v>
      </c>
      <c r="AW29" s="87">
        <v>2</v>
      </c>
      <c r="AX29" s="87">
        <v>2</v>
      </c>
      <c r="AY29" s="70" t="str">
        <f t="shared" si="22"/>
        <v>X</v>
      </c>
      <c r="AZ29" s="74">
        <f t="shared" si="23"/>
        <v>0</v>
      </c>
      <c r="BA29" s="91">
        <v>1</v>
      </c>
      <c r="BB29" s="91">
        <v>1</v>
      </c>
      <c r="BC29" s="70" t="str">
        <f t="shared" si="24"/>
        <v>X</v>
      </c>
      <c r="BD29" s="74">
        <f t="shared" si="25"/>
        <v>0</v>
      </c>
      <c r="BE29" s="87">
        <v>2</v>
      </c>
      <c r="BF29" s="87">
        <v>2</v>
      </c>
      <c r="BG29" s="70" t="str">
        <f t="shared" si="26"/>
        <v>X</v>
      </c>
      <c r="BH29" s="74">
        <f t="shared" si="27"/>
        <v>0</v>
      </c>
      <c r="BI29" s="87">
        <v>2</v>
      </c>
      <c r="BJ29" s="87">
        <v>1</v>
      </c>
      <c r="BK29" s="70" t="str">
        <f t="shared" si="28"/>
        <v>1</v>
      </c>
      <c r="BL29" s="74">
        <f t="shared" si="29"/>
        <v>0</v>
      </c>
      <c r="BM29" s="87">
        <v>1</v>
      </c>
      <c r="BN29" s="87">
        <v>1</v>
      </c>
      <c r="BO29" s="70" t="str">
        <f t="shared" si="30"/>
        <v>X</v>
      </c>
      <c r="BP29" s="74">
        <f t="shared" si="31"/>
        <v>0</v>
      </c>
      <c r="BQ29" s="87">
        <v>1</v>
      </c>
      <c r="BR29" s="87">
        <v>2</v>
      </c>
      <c r="BS29" s="70" t="str">
        <f t="shared" si="32"/>
        <v>2</v>
      </c>
      <c r="BT29" s="74">
        <f t="shared" si="33"/>
        <v>0</v>
      </c>
      <c r="BU29" s="87">
        <v>2</v>
      </c>
      <c r="BV29" s="87">
        <v>2</v>
      </c>
      <c r="BW29" s="70" t="str">
        <f t="shared" si="34"/>
        <v>X</v>
      </c>
      <c r="BX29" s="74">
        <f t="shared" si="35"/>
        <v>0</v>
      </c>
      <c r="BY29" s="87">
        <v>0</v>
      </c>
      <c r="BZ29" s="87">
        <v>1</v>
      </c>
      <c r="CA29" s="70" t="str">
        <f t="shared" si="36"/>
        <v>2</v>
      </c>
      <c r="CB29" s="74">
        <f t="shared" si="37"/>
        <v>0</v>
      </c>
      <c r="CC29" s="87">
        <v>2</v>
      </c>
      <c r="CD29" s="87">
        <v>1</v>
      </c>
      <c r="CE29" s="70" t="str">
        <f t="shared" si="38"/>
        <v>1</v>
      </c>
      <c r="CF29" s="74">
        <f t="shared" si="39"/>
        <v>0</v>
      </c>
      <c r="CG29" s="87">
        <v>1</v>
      </c>
      <c r="CH29" s="87">
        <v>1</v>
      </c>
      <c r="CI29" s="70" t="str">
        <f t="shared" si="40"/>
        <v>X</v>
      </c>
      <c r="CJ29" s="74">
        <f t="shared" si="41"/>
        <v>0</v>
      </c>
      <c r="CK29" s="88">
        <v>2</v>
      </c>
      <c r="CL29" s="88">
        <v>1</v>
      </c>
      <c r="CM29" s="70" t="str">
        <f t="shared" si="42"/>
        <v>1</v>
      </c>
      <c r="CN29" s="74">
        <f t="shared" si="43"/>
        <v>0</v>
      </c>
      <c r="CO29" s="87">
        <v>0</v>
      </c>
      <c r="CP29" s="87">
        <v>1</v>
      </c>
      <c r="CQ29" s="70" t="str">
        <f t="shared" si="44"/>
        <v>2</v>
      </c>
      <c r="CR29" s="74">
        <f t="shared" si="45"/>
        <v>0</v>
      </c>
      <c r="CS29" s="87">
        <v>1</v>
      </c>
      <c r="CT29" s="87">
        <v>1</v>
      </c>
      <c r="CU29" s="70" t="str">
        <f t="shared" si="46"/>
        <v>X</v>
      </c>
      <c r="CV29" s="74">
        <f t="shared" si="47"/>
        <v>0</v>
      </c>
      <c r="CW29" s="87">
        <v>0</v>
      </c>
      <c r="CX29" s="87">
        <v>1</v>
      </c>
      <c r="CY29" s="70" t="str">
        <f t="shared" si="48"/>
        <v>2</v>
      </c>
      <c r="CZ29" s="74">
        <f t="shared" si="49"/>
        <v>0</v>
      </c>
      <c r="DA29" s="87">
        <v>1</v>
      </c>
      <c r="DB29" s="87">
        <v>1</v>
      </c>
      <c r="DC29" s="70" t="str">
        <f t="shared" si="50"/>
        <v>X</v>
      </c>
      <c r="DD29" s="74">
        <f t="shared" si="51"/>
        <v>0</v>
      </c>
      <c r="DE29" s="87">
        <v>1</v>
      </c>
      <c r="DF29" s="87">
        <v>2</v>
      </c>
      <c r="DG29" s="70" t="str">
        <f t="shared" si="52"/>
        <v>2</v>
      </c>
      <c r="DH29" s="74">
        <f t="shared" si="53"/>
        <v>0</v>
      </c>
      <c r="DI29" s="87">
        <v>2</v>
      </c>
      <c r="DJ29" s="87">
        <v>2</v>
      </c>
      <c r="DK29" s="70" t="str">
        <f t="shared" si="54"/>
        <v>X</v>
      </c>
      <c r="DL29" s="74">
        <f t="shared" si="55"/>
        <v>0</v>
      </c>
      <c r="DM29" s="87">
        <v>1</v>
      </c>
      <c r="DN29" s="87">
        <v>0</v>
      </c>
      <c r="DO29" s="70" t="str">
        <f t="shared" si="56"/>
        <v>1</v>
      </c>
      <c r="DP29" s="74">
        <f t="shared" si="57"/>
        <v>0</v>
      </c>
    </row>
    <row r="30" spans="1:120" ht="16" customHeight="1" thickBot="1">
      <c r="A30" s="130">
        <v>44732</v>
      </c>
      <c r="B30" s="131" t="s">
        <v>113</v>
      </c>
      <c r="C30" s="85" t="s">
        <v>63</v>
      </c>
      <c r="D30" s="85" t="s">
        <v>65</v>
      </c>
      <c r="E30" s="84">
        <f t="shared" si="0"/>
        <v>0</v>
      </c>
      <c r="F30" s="23"/>
      <c r="G30" s="5"/>
      <c r="H30" s="77" t="b">
        <f t="shared" si="1"/>
        <v>0</v>
      </c>
      <c r="I30" s="87">
        <v>2</v>
      </c>
      <c r="J30" s="87">
        <v>1</v>
      </c>
      <c r="K30" s="70" t="str">
        <f t="shared" si="2"/>
        <v>1</v>
      </c>
      <c r="L30" s="74">
        <f t="shared" si="3"/>
        <v>0</v>
      </c>
      <c r="M30" s="87">
        <v>1</v>
      </c>
      <c r="N30" s="87">
        <v>1</v>
      </c>
      <c r="O30" s="70" t="str">
        <f t="shared" si="4"/>
        <v>X</v>
      </c>
      <c r="P30" s="74">
        <f t="shared" si="5"/>
        <v>0</v>
      </c>
      <c r="Q30" s="87">
        <v>2</v>
      </c>
      <c r="R30" s="87">
        <v>0</v>
      </c>
      <c r="S30" s="70" t="str">
        <f t="shared" si="6"/>
        <v>1</v>
      </c>
      <c r="T30" s="74">
        <f t="shared" si="7"/>
        <v>0</v>
      </c>
      <c r="U30" s="87">
        <v>2</v>
      </c>
      <c r="V30" s="87">
        <v>1</v>
      </c>
      <c r="W30" s="70" t="str">
        <f t="shared" si="8"/>
        <v>1</v>
      </c>
      <c r="X30" s="74">
        <f t="shared" si="9"/>
        <v>0</v>
      </c>
      <c r="Y30" s="87">
        <v>1</v>
      </c>
      <c r="Z30" s="87">
        <v>1</v>
      </c>
      <c r="AA30" s="70" t="str">
        <f t="shared" si="10"/>
        <v>X</v>
      </c>
      <c r="AB30" s="74">
        <f t="shared" si="11"/>
        <v>0</v>
      </c>
      <c r="AC30" s="87">
        <v>3</v>
      </c>
      <c r="AD30" s="87">
        <v>1</v>
      </c>
      <c r="AE30" s="70" t="str">
        <f t="shared" si="12"/>
        <v>1</v>
      </c>
      <c r="AF30" s="74">
        <f t="shared" si="13"/>
        <v>0</v>
      </c>
      <c r="AG30" s="87">
        <v>3</v>
      </c>
      <c r="AH30" s="87">
        <v>1</v>
      </c>
      <c r="AI30" s="70" t="str">
        <f t="shared" si="14"/>
        <v>1</v>
      </c>
      <c r="AJ30" s="74">
        <f t="shared" si="15"/>
        <v>0</v>
      </c>
      <c r="AK30" s="87">
        <v>2</v>
      </c>
      <c r="AL30" s="87">
        <v>1</v>
      </c>
      <c r="AM30" s="70" t="str">
        <f t="shared" si="16"/>
        <v>1</v>
      </c>
      <c r="AN30" s="74">
        <f t="shared" si="17"/>
        <v>0</v>
      </c>
      <c r="AO30" s="87">
        <v>2</v>
      </c>
      <c r="AP30" s="87">
        <v>1</v>
      </c>
      <c r="AQ30" s="70" t="str">
        <f t="shared" si="18"/>
        <v>1</v>
      </c>
      <c r="AR30" s="74">
        <f t="shared" si="19"/>
        <v>0</v>
      </c>
      <c r="AS30" s="88">
        <v>2</v>
      </c>
      <c r="AT30" s="88">
        <v>0</v>
      </c>
      <c r="AU30" s="70" t="str">
        <f t="shared" si="20"/>
        <v>1</v>
      </c>
      <c r="AV30" s="74">
        <f t="shared" si="21"/>
        <v>0</v>
      </c>
      <c r="AW30" s="87">
        <v>2</v>
      </c>
      <c r="AX30" s="87">
        <v>0</v>
      </c>
      <c r="AY30" s="70" t="str">
        <f t="shared" si="22"/>
        <v>1</v>
      </c>
      <c r="AZ30" s="74">
        <f t="shared" si="23"/>
        <v>0</v>
      </c>
      <c r="BA30" s="91">
        <v>2</v>
      </c>
      <c r="BB30" s="91">
        <v>1</v>
      </c>
      <c r="BC30" s="70" t="str">
        <f t="shared" si="24"/>
        <v>1</v>
      </c>
      <c r="BD30" s="74">
        <f t="shared" si="25"/>
        <v>0</v>
      </c>
      <c r="BE30" s="87">
        <v>2</v>
      </c>
      <c r="BF30" s="87">
        <v>1</v>
      </c>
      <c r="BG30" s="70" t="str">
        <f t="shared" si="26"/>
        <v>1</v>
      </c>
      <c r="BH30" s="74">
        <f t="shared" si="27"/>
        <v>0</v>
      </c>
      <c r="BI30" s="87">
        <v>3</v>
      </c>
      <c r="BJ30" s="87">
        <v>1</v>
      </c>
      <c r="BK30" s="70" t="str">
        <f t="shared" si="28"/>
        <v>1</v>
      </c>
      <c r="BL30" s="74">
        <f t="shared" si="29"/>
        <v>0</v>
      </c>
      <c r="BM30" s="87">
        <v>2</v>
      </c>
      <c r="BN30" s="87">
        <v>0</v>
      </c>
      <c r="BO30" s="70" t="str">
        <f t="shared" si="30"/>
        <v>1</v>
      </c>
      <c r="BP30" s="74">
        <f t="shared" si="31"/>
        <v>0</v>
      </c>
      <c r="BQ30" s="87">
        <v>3</v>
      </c>
      <c r="BR30" s="87">
        <v>1</v>
      </c>
      <c r="BS30" s="70" t="str">
        <f t="shared" si="32"/>
        <v>1</v>
      </c>
      <c r="BT30" s="74">
        <f t="shared" si="33"/>
        <v>0</v>
      </c>
      <c r="BU30" s="87">
        <v>3</v>
      </c>
      <c r="BV30" s="87">
        <v>1</v>
      </c>
      <c r="BW30" s="70" t="str">
        <f t="shared" si="34"/>
        <v>1</v>
      </c>
      <c r="BX30" s="74">
        <f t="shared" si="35"/>
        <v>0</v>
      </c>
      <c r="BY30" s="87">
        <v>3</v>
      </c>
      <c r="BZ30" s="87">
        <v>0</v>
      </c>
      <c r="CA30" s="70" t="str">
        <f t="shared" si="36"/>
        <v>1</v>
      </c>
      <c r="CB30" s="74">
        <f t="shared" si="37"/>
        <v>0</v>
      </c>
      <c r="CC30" s="87">
        <v>2</v>
      </c>
      <c r="CD30" s="87">
        <v>0</v>
      </c>
      <c r="CE30" s="70" t="str">
        <f t="shared" si="38"/>
        <v>1</v>
      </c>
      <c r="CF30" s="74">
        <f t="shared" si="39"/>
        <v>0</v>
      </c>
      <c r="CG30" s="87">
        <v>2</v>
      </c>
      <c r="CH30" s="87">
        <v>0</v>
      </c>
      <c r="CI30" s="70" t="str">
        <f t="shared" si="40"/>
        <v>1</v>
      </c>
      <c r="CJ30" s="74">
        <f t="shared" si="41"/>
        <v>0</v>
      </c>
      <c r="CK30" s="88">
        <v>2</v>
      </c>
      <c r="CL30" s="88">
        <v>0</v>
      </c>
      <c r="CM30" s="70" t="str">
        <f t="shared" si="42"/>
        <v>1</v>
      </c>
      <c r="CN30" s="74">
        <f t="shared" si="43"/>
        <v>0</v>
      </c>
      <c r="CO30" s="87">
        <v>1</v>
      </c>
      <c r="CP30" s="87">
        <v>1</v>
      </c>
      <c r="CQ30" s="70" t="str">
        <f t="shared" si="44"/>
        <v>X</v>
      </c>
      <c r="CR30" s="74">
        <f t="shared" si="45"/>
        <v>0</v>
      </c>
      <c r="CS30" s="87">
        <v>2</v>
      </c>
      <c r="CT30" s="87">
        <v>1</v>
      </c>
      <c r="CU30" s="70" t="str">
        <f t="shared" si="46"/>
        <v>1</v>
      </c>
      <c r="CV30" s="74">
        <f t="shared" si="47"/>
        <v>0</v>
      </c>
      <c r="CW30" s="87">
        <v>2</v>
      </c>
      <c r="CX30" s="87">
        <v>1</v>
      </c>
      <c r="CY30" s="70" t="str">
        <f t="shared" si="48"/>
        <v>1</v>
      </c>
      <c r="CZ30" s="74">
        <f t="shared" si="49"/>
        <v>0</v>
      </c>
      <c r="DA30" s="87">
        <v>2</v>
      </c>
      <c r="DB30" s="87">
        <v>1</v>
      </c>
      <c r="DC30" s="70" t="str">
        <f t="shared" si="50"/>
        <v>1</v>
      </c>
      <c r="DD30" s="74">
        <f t="shared" si="51"/>
        <v>0</v>
      </c>
      <c r="DE30" s="87">
        <v>4</v>
      </c>
      <c r="DF30" s="87">
        <v>1</v>
      </c>
      <c r="DG30" s="70" t="str">
        <f t="shared" si="52"/>
        <v>1</v>
      </c>
      <c r="DH30" s="74">
        <f t="shared" si="53"/>
        <v>0</v>
      </c>
      <c r="DI30" s="87">
        <v>1</v>
      </c>
      <c r="DJ30" s="87">
        <v>1</v>
      </c>
      <c r="DK30" s="70" t="str">
        <f t="shared" si="54"/>
        <v>X</v>
      </c>
      <c r="DL30" s="74">
        <f t="shared" si="55"/>
        <v>0</v>
      </c>
      <c r="DM30" s="87">
        <v>2</v>
      </c>
      <c r="DN30" s="87">
        <v>1</v>
      </c>
      <c r="DO30" s="70" t="str">
        <f t="shared" si="56"/>
        <v>1</v>
      </c>
      <c r="DP30" s="74">
        <f t="shared" si="57"/>
        <v>0</v>
      </c>
    </row>
    <row r="31" spans="1:120" ht="16" customHeight="1" thickBot="1">
      <c r="A31" s="130">
        <v>44732</v>
      </c>
      <c r="B31" s="131" t="s">
        <v>114</v>
      </c>
      <c r="C31" s="85" t="s">
        <v>66</v>
      </c>
      <c r="D31" s="85" t="s">
        <v>64</v>
      </c>
      <c r="E31" s="84">
        <f t="shared" si="0"/>
        <v>0</v>
      </c>
      <c r="F31" s="23"/>
      <c r="G31" s="5"/>
      <c r="H31" s="77" t="b">
        <f t="shared" si="1"/>
        <v>0</v>
      </c>
      <c r="I31" s="87">
        <v>3</v>
      </c>
      <c r="J31" s="87">
        <v>0</v>
      </c>
      <c r="K31" s="70" t="str">
        <f t="shared" si="2"/>
        <v>1</v>
      </c>
      <c r="L31" s="74">
        <f t="shared" si="3"/>
        <v>0</v>
      </c>
      <c r="M31" s="87">
        <v>2</v>
      </c>
      <c r="N31" s="87">
        <v>1</v>
      </c>
      <c r="O31" s="70" t="str">
        <f t="shared" si="4"/>
        <v>1</v>
      </c>
      <c r="P31" s="74">
        <f t="shared" si="5"/>
        <v>0</v>
      </c>
      <c r="Q31" s="87">
        <v>3</v>
      </c>
      <c r="R31" s="87">
        <v>0</v>
      </c>
      <c r="S31" s="70" t="str">
        <f t="shared" si="6"/>
        <v>1</v>
      </c>
      <c r="T31" s="74">
        <f t="shared" si="7"/>
        <v>0</v>
      </c>
      <c r="U31" s="87">
        <v>2</v>
      </c>
      <c r="V31" s="87">
        <v>0</v>
      </c>
      <c r="W31" s="70" t="str">
        <f t="shared" si="8"/>
        <v>1</v>
      </c>
      <c r="X31" s="74">
        <f t="shared" si="9"/>
        <v>0</v>
      </c>
      <c r="Y31" s="87">
        <v>4</v>
      </c>
      <c r="Z31" s="87">
        <v>1</v>
      </c>
      <c r="AA31" s="70" t="str">
        <f t="shared" si="10"/>
        <v>1</v>
      </c>
      <c r="AB31" s="74">
        <f t="shared" si="11"/>
        <v>0</v>
      </c>
      <c r="AC31" s="87">
        <v>1</v>
      </c>
      <c r="AD31" s="87">
        <v>1</v>
      </c>
      <c r="AE31" s="70" t="str">
        <f t="shared" si="12"/>
        <v>X</v>
      </c>
      <c r="AF31" s="74">
        <f t="shared" si="13"/>
        <v>0</v>
      </c>
      <c r="AG31" s="87">
        <v>3</v>
      </c>
      <c r="AH31" s="87">
        <v>0</v>
      </c>
      <c r="AI31" s="70" t="str">
        <f t="shared" si="14"/>
        <v>1</v>
      </c>
      <c r="AJ31" s="74">
        <f t="shared" si="15"/>
        <v>0</v>
      </c>
      <c r="AK31" s="87">
        <v>4</v>
      </c>
      <c r="AL31" s="87">
        <v>0</v>
      </c>
      <c r="AM31" s="70" t="str">
        <f t="shared" si="16"/>
        <v>1</v>
      </c>
      <c r="AN31" s="74">
        <f t="shared" si="17"/>
        <v>0</v>
      </c>
      <c r="AO31" s="87">
        <v>6</v>
      </c>
      <c r="AP31" s="87">
        <v>0</v>
      </c>
      <c r="AQ31" s="70" t="str">
        <f t="shared" si="18"/>
        <v>1</v>
      </c>
      <c r="AR31" s="74">
        <f t="shared" si="19"/>
        <v>0</v>
      </c>
      <c r="AS31" s="88">
        <v>2</v>
      </c>
      <c r="AT31" s="88">
        <v>0</v>
      </c>
      <c r="AU31" s="70" t="str">
        <f t="shared" si="20"/>
        <v>1</v>
      </c>
      <c r="AV31" s="74">
        <f t="shared" si="21"/>
        <v>0</v>
      </c>
      <c r="AW31" s="87">
        <v>3</v>
      </c>
      <c r="AX31" s="87">
        <v>0</v>
      </c>
      <c r="AY31" s="70" t="str">
        <f t="shared" si="22"/>
        <v>1</v>
      </c>
      <c r="AZ31" s="74">
        <f t="shared" si="23"/>
        <v>0</v>
      </c>
      <c r="BA31" s="91">
        <v>2</v>
      </c>
      <c r="BB31" s="91">
        <v>0</v>
      </c>
      <c r="BC31" s="70" t="str">
        <f t="shared" si="24"/>
        <v>1</v>
      </c>
      <c r="BD31" s="74">
        <f t="shared" si="25"/>
        <v>0</v>
      </c>
      <c r="BE31" s="87">
        <v>3</v>
      </c>
      <c r="BF31" s="87">
        <v>0</v>
      </c>
      <c r="BG31" s="70" t="str">
        <f t="shared" si="26"/>
        <v>1</v>
      </c>
      <c r="BH31" s="74">
        <f t="shared" si="27"/>
        <v>0</v>
      </c>
      <c r="BI31" s="87">
        <v>3</v>
      </c>
      <c r="BJ31" s="87">
        <v>0</v>
      </c>
      <c r="BK31" s="70" t="str">
        <f t="shared" si="28"/>
        <v>1</v>
      </c>
      <c r="BL31" s="74">
        <f t="shared" si="29"/>
        <v>0</v>
      </c>
      <c r="BM31" s="87">
        <v>2</v>
      </c>
      <c r="BN31" s="87">
        <v>0</v>
      </c>
      <c r="BO31" s="70" t="str">
        <f t="shared" si="30"/>
        <v>1</v>
      </c>
      <c r="BP31" s="74">
        <f t="shared" si="31"/>
        <v>0</v>
      </c>
      <c r="BQ31" s="87">
        <v>2</v>
      </c>
      <c r="BR31" s="87">
        <v>0</v>
      </c>
      <c r="BS31" s="70" t="str">
        <f t="shared" si="32"/>
        <v>1</v>
      </c>
      <c r="BT31" s="74">
        <f t="shared" si="33"/>
        <v>0</v>
      </c>
      <c r="BU31" s="87">
        <v>3</v>
      </c>
      <c r="BV31" s="87">
        <v>0</v>
      </c>
      <c r="BW31" s="70" t="str">
        <f t="shared" si="34"/>
        <v>1</v>
      </c>
      <c r="BX31" s="74">
        <f t="shared" si="35"/>
        <v>0</v>
      </c>
      <c r="BY31" s="87">
        <v>2</v>
      </c>
      <c r="BZ31" s="87">
        <v>0</v>
      </c>
      <c r="CA31" s="70" t="str">
        <f t="shared" si="36"/>
        <v>1</v>
      </c>
      <c r="CB31" s="74">
        <f t="shared" si="37"/>
        <v>0</v>
      </c>
      <c r="CC31" s="87">
        <v>1</v>
      </c>
      <c r="CD31" s="87">
        <v>0</v>
      </c>
      <c r="CE31" s="70" t="str">
        <f t="shared" si="38"/>
        <v>1</v>
      </c>
      <c r="CF31" s="74">
        <f t="shared" si="39"/>
        <v>0</v>
      </c>
      <c r="CG31" s="87">
        <v>3</v>
      </c>
      <c r="CH31" s="87">
        <v>0</v>
      </c>
      <c r="CI31" s="70" t="str">
        <f t="shared" si="40"/>
        <v>1</v>
      </c>
      <c r="CJ31" s="74">
        <f t="shared" si="41"/>
        <v>0</v>
      </c>
      <c r="CK31" s="88">
        <v>2</v>
      </c>
      <c r="CL31" s="88">
        <v>0</v>
      </c>
      <c r="CM31" s="70" t="str">
        <f t="shared" si="42"/>
        <v>1</v>
      </c>
      <c r="CN31" s="74">
        <f t="shared" si="43"/>
        <v>0</v>
      </c>
      <c r="CO31" s="87">
        <v>2</v>
      </c>
      <c r="CP31" s="87">
        <v>0</v>
      </c>
      <c r="CQ31" s="70" t="str">
        <f t="shared" si="44"/>
        <v>1</v>
      </c>
      <c r="CR31" s="74">
        <f t="shared" si="45"/>
        <v>0</v>
      </c>
      <c r="CS31" s="87">
        <v>3</v>
      </c>
      <c r="CT31" s="87">
        <v>0</v>
      </c>
      <c r="CU31" s="70" t="str">
        <f t="shared" si="46"/>
        <v>1</v>
      </c>
      <c r="CV31" s="74">
        <f t="shared" si="47"/>
        <v>0</v>
      </c>
      <c r="CW31" s="87">
        <v>2</v>
      </c>
      <c r="CX31" s="87">
        <v>0</v>
      </c>
      <c r="CY31" s="70" t="str">
        <f t="shared" si="48"/>
        <v>1</v>
      </c>
      <c r="CZ31" s="74">
        <f t="shared" si="49"/>
        <v>0</v>
      </c>
      <c r="DA31" s="87">
        <v>2</v>
      </c>
      <c r="DB31" s="87">
        <v>0</v>
      </c>
      <c r="DC31" s="70" t="str">
        <f t="shared" si="50"/>
        <v>1</v>
      </c>
      <c r="DD31" s="74">
        <f t="shared" si="51"/>
        <v>0</v>
      </c>
      <c r="DE31" s="87">
        <v>5</v>
      </c>
      <c r="DF31" s="87">
        <v>0</v>
      </c>
      <c r="DG31" s="70" t="str">
        <f t="shared" si="52"/>
        <v>1</v>
      </c>
      <c r="DH31" s="74">
        <f t="shared" si="53"/>
        <v>0</v>
      </c>
      <c r="DI31" s="87">
        <v>3</v>
      </c>
      <c r="DJ31" s="87">
        <v>0</v>
      </c>
      <c r="DK31" s="70" t="str">
        <f t="shared" si="54"/>
        <v>1</v>
      </c>
      <c r="DL31" s="74">
        <f t="shared" si="55"/>
        <v>0</v>
      </c>
      <c r="DM31" s="87">
        <v>2</v>
      </c>
      <c r="DN31" s="87">
        <v>0</v>
      </c>
      <c r="DO31" s="70" t="str">
        <f t="shared" si="56"/>
        <v>1</v>
      </c>
      <c r="DP31" s="74">
        <f t="shared" si="57"/>
        <v>0</v>
      </c>
    </row>
    <row r="32" spans="1:120" ht="16" customHeight="1" thickBot="1">
      <c r="A32" s="130">
        <v>44737</v>
      </c>
      <c r="B32" s="131" t="s">
        <v>113</v>
      </c>
      <c r="C32" s="85" t="s">
        <v>64</v>
      </c>
      <c r="D32" s="85" t="s">
        <v>65</v>
      </c>
      <c r="E32" s="84">
        <f t="shared" si="0"/>
        <v>0</v>
      </c>
      <c r="F32" s="23"/>
      <c r="G32" s="5"/>
      <c r="H32" s="77" t="b">
        <f t="shared" si="1"/>
        <v>0</v>
      </c>
      <c r="I32" s="87"/>
      <c r="J32" s="87"/>
      <c r="K32" s="70" t="str">
        <f t="shared" si="2"/>
        <v>X</v>
      </c>
      <c r="L32" s="74">
        <f t="shared" si="3"/>
        <v>0</v>
      </c>
      <c r="M32" s="87"/>
      <c r="N32" s="87"/>
      <c r="O32" s="70" t="str">
        <f t="shared" si="4"/>
        <v>X</v>
      </c>
      <c r="P32" s="74">
        <f t="shared" si="5"/>
        <v>0</v>
      </c>
      <c r="Q32" s="87"/>
      <c r="R32" s="87"/>
      <c r="S32" s="70" t="str">
        <f t="shared" si="6"/>
        <v>X</v>
      </c>
      <c r="T32" s="74">
        <f t="shared" si="7"/>
        <v>0</v>
      </c>
      <c r="U32" s="87"/>
      <c r="V32" s="87"/>
      <c r="W32" s="70" t="str">
        <f t="shared" si="8"/>
        <v>X</v>
      </c>
      <c r="X32" s="74">
        <f t="shared" si="9"/>
        <v>0</v>
      </c>
      <c r="Y32" s="87"/>
      <c r="Z32" s="87"/>
      <c r="AA32" s="70" t="str">
        <f t="shared" si="10"/>
        <v>X</v>
      </c>
      <c r="AB32" s="74">
        <f t="shared" si="11"/>
        <v>0</v>
      </c>
      <c r="AC32" s="87"/>
      <c r="AD32" s="87"/>
      <c r="AE32" s="70" t="str">
        <f t="shared" si="12"/>
        <v>X</v>
      </c>
      <c r="AF32" s="74">
        <f t="shared" si="13"/>
        <v>0</v>
      </c>
      <c r="AG32" s="87"/>
      <c r="AH32" s="87"/>
      <c r="AI32" s="70" t="str">
        <f t="shared" si="14"/>
        <v>X</v>
      </c>
      <c r="AJ32" s="74">
        <f t="shared" si="15"/>
        <v>0</v>
      </c>
      <c r="AK32" s="87"/>
      <c r="AL32" s="87"/>
      <c r="AM32" s="70" t="str">
        <f t="shared" si="16"/>
        <v>X</v>
      </c>
      <c r="AN32" s="74">
        <f t="shared" si="17"/>
        <v>0</v>
      </c>
      <c r="AO32" s="87"/>
      <c r="AP32" s="87"/>
      <c r="AQ32" s="70" t="str">
        <f t="shared" si="18"/>
        <v>X</v>
      </c>
      <c r="AR32" s="74">
        <f t="shared" si="19"/>
        <v>0</v>
      </c>
      <c r="AS32" s="88"/>
      <c r="AT32" s="88"/>
      <c r="AU32" s="70" t="str">
        <f t="shared" si="20"/>
        <v>X</v>
      </c>
      <c r="AV32" s="74">
        <f t="shared" si="21"/>
        <v>0</v>
      </c>
      <c r="AW32" s="87"/>
      <c r="AX32" s="87"/>
      <c r="AY32" s="70" t="str">
        <f t="shared" si="22"/>
        <v>X</v>
      </c>
      <c r="AZ32" s="74">
        <f t="shared" si="23"/>
        <v>0</v>
      </c>
      <c r="BA32" s="91"/>
      <c r="BB32" s="91"/>
      <c r="BC32" s="70" t="str">
        <f t="shared" si="24"/>
        <v>X</v>
      </c>
      <c r="BD32" s="74">
        <f t="shared" si="25"/>
        <v>0</v>
      </c>
      <c r="BE32" s="87"/>
      <c r="BF32" s="87"/>
      <c r="BG32" s="70" t="str">
        <f t="shared" si="26"/>
        <v>X</v>
      </c>
      <c r="BH32" s="74">
        <f t="shared" si="27"/>
        <v>0</v>
      </c>
      <c r="BI32" s="87"/>
      <c r="BJ32" s="87"/>
      <c r="BK32" s="70" t="str">
        <f t="shared" si="28"/>
        <v>X</v>
      </c>
      <c r="BL32" s="74">
        <f t="shared" si="29"/>
        <v>0</v>
      </c>
      <c r="BM32" s="87"/>
      <c r="BN32" s="87"/>
      <c r="BO32" s="70" t="str">
        <f t="shared" si="30"/>
        <v>X</v>
      </c>
      <c r="BP32" s="74">
        <f t="shared" si="31"/>
        <v>0</v>
      </c>
      <c r="BQ32" s="87"/>
      <c r="BR32" s="87"/>
      <c r="BS32" s="70" t="str">
        <f t="shared" si="32"/>
        <v>X</v>
      </c>
      <c r="BT32" s="74">
        <f t="shared" si="33"/>
        <v>0</v>
      </c>
      <c r="BU32" s="87"/>
      <c r="BV32" s="87"/>
      <c r="BW32" s="70" t="str">
        <f t="shared" si="34"/>
        <v>X</v>
      </c>
      <c r="BX32" s="74">
        <f t="shared" si="35"/>
        <v>0</v>
      </c>
      <c r="BY32" s="87"/>
      <c r="BZ32" s="87"/>
      <c r="CA32" s="70" t="str">
        <f t="shared" si="36"/>
        <v>X</v>
      </c>
      <c r="CB32" s="74">
        <f t="shared" si="37"/>
        <v>0</v>
      </c>
      <c r="CC32" s="87"/>
      <c r="CD32" s="87"/>
      <c r="CE32" s="70" t="str">
        <f t="shared" si="38"/>
        <v>X</v>
      </c>
      <c r="CF32" s="74">
        <f t="shared" si="39"/>
        <v>0</v>
      </c>
      <c r="CG32" s="87"/>
      <c r="CH32" s="87"/>
      <c r="CI32" s="70" t="str">
        <f t="shared" si="40"/>
        <v>X</v>
      </c>
      <c r="CJ32" s="74">
        <f t="shared" si="41"/>
        <v>0</v>
      </c>
      <c r="CK32" s="88"/>
      <c r="CL32" s="88"/>
      <c r="CM32" s="70" t="str">
        <f t="shared" si="42"/>
        <v>X</v>
      </c>
      <c r="CN32" s="74">
        <f t="shared" si="43"/>
        <v>0</v>
      </c>
      <c r="CO32" s="87"/>
      <c r="CP32" s="87"/>
      <c r="CQ32" s="70" t="str">
        <f t="shared" si="44"/>
        <v>X</v>
      </c>
      <c r="CR32" s="74">
        <f t="shared" si="45"/>
        <v>0</v>
      </c>
      <c r="CS32" s="87"/>
      <c r="CT32" s="87"/>
      <c r="CU32" s="70" t="str">
        <f t="shared" si="46"/>
        <v>X</v>
      </c>
      <c r="CV32" s="74">
        <f t="shared" si="47"/>
        <v>0</v>
      </c>
      <c r="CW32" s="87"/>
      <c r="CX32" s="87"/>
      <c r="CY32" s="70" t="str">
        <f t="shared" si="48"/>
        <v>X</v>
      </c>
      <c r="CZ32" s="74">
        <f t="shared" si="49"/>
        <v>0</v>
      </c>
      <c r="DA32" s="87"/>
      <c r="DB32" s="87"/>
      <c r="DC32" s="70" t="str">
        <f t="shared" si="50"/>
        <v>X</v>
      </c>
      <c r="DD32" s="74">
        <f t="shared" si="51"/>
        <v>0</v>
      </c>
      <c r="DE32" s="87"/>
      <c r="DF32" s="87"/>
      <c r="DG32" s="70" t="str">
        <f t="shared" si="52"/>
        <v>X</v>
      </c>
      <c r="DH32" s="74">
        <f t="shared" si="53"/>
        <v>0</v>
      </c>
      <c r="DI32" s="87"/>
      <c r="DJ32" s="87"/>
      <c r="DK32" s="70" t="str">
        <f t="shared" si="54"/>
        <v>X</v>
      </c>
      <c r="DL32" s="74">
        <f t="shared" si="55"/>
        <v>0</v>
      </c>
      <c r="DM32" s="87"/>
      <c r="DN32" s="87"/>
      <c r="DO32" s="70" t="str">
        <f t="shared" si="56"/>
        <v>X</v>
      </c>
      <c r="DP32" s="74">
        <f t="shared" si="57"/>
        <v>0</v>
      </c>
    </row>
    <row r="33" spans="1:120" ht="16" customHeight="1" thickBot="1">
      <c r="A33" s="130">
        <v>44737</v>
      </c>
      <c r="B33" s="131" t="s">
        <v>113</v>
      </c>
      <c r="C33" s="85" t="s">
        <v>66</v>
      </c>
      <c r="D33" s="85" t="s">
        <v>63</v>
      </c>
      <c r="E33" s="84">
        <f t="shared" si="0"/>
        <v>0</v>
      </c>
      <c r="F33" s="23"/>
      <c r="G33" s="5"/>
      <c r="H33" s="77" t="b">
        <f t="shared" si="1"/>
        <v>0</v>
      </c>
      <c r="I33" s="87"/>
      <c r="J33" s="87"/>
      <c r="K33" s="70" t="str">
        <f t="shared" si="2"/>
        <v>X</v>
      </c>
      <c r="L33" s="74">
        <f t="shared" si="3"/>
        <v>0</v>
      </c>
      <c r="M33" s="87"/>
      <c r="N33" s="87"/>
      <c r="O33" s="70" t="str">
        <f t="shared" si="4"/>
        <v>X</v>
      </c>
      <c r="P33" s="74">
        <f t="shared" si="5"/>
        <v>0</v>
      </c>
      <c r="Q33" s="87"/>
      <c r="R33" s="87"/>
      <c r="S33" s="70" t="str">
        <f t="shared" si="6"/>
        <v>X</v>
      </c>
      <c r="T33" s="74">
        <f t="shared" si="7"/>
        <v>0</v>
      </c>
      <c r="U33" s="87"/>
      <c r="V33" s="87"/>
      <c r="W33" s="70" t="str">
        <f t="shared" si="8"/>
        <v>X</v>
      </c>
      <c r="X33" s="74">
        <f t="shared" si="9"/>
        <v>0</v>
      </c>
      <c r="Y33" s="87"/>
      <c r="Z33" s="87"/>
      <c r="AA33" s="70" t="str">
        <f t="shared" si="10"/>
        <v>X</v>
      </c>
      <c r="AB33" s="74">
        <f t="shared" si="11"/>
        <v>0</v>
      </c>
      <c r="AC33" s="87"/>
      <c r="AD33" s="87"/>
      <c r="AE33" s="70" t="str">
        <f t="shared" si="12"/>
        <v>X</v>
      </c>
      <c r="AF33" s="74">
        <f t="shared" si="13"/>
        <v>0</v>
      </c>
      <c r="AG33" s="87"/>
      <c r="AH33" s="87"/>
      <c r="AI33" s="70" t="str">
        <f t="shared" si="14"/>
        <v>X</v>
      </c>
      <c r="AJ33" s="74">
        <f t="shared" si="15"/>
        <v>0</v>
      </c>
      <c r="AK33" s="87"/>
      <c r="AL33" s="87"/>
      <c r="AM33" s="70" t="str">
        <f t="shared" si="16"/>
        <v>X</v>
      </c>
      <c r="AN33" s="74">
        <f t="shared" si="17"/>
        <v>0</v>
      </c>
      <c r="AO33" s="87"/>
      <c r="AP33" s="87"/>
      <c r="AQ33" s="70" t="str">
        <f t="shared" si="18"/>
        <v>X</v>
      </c>
      <c r="AR33" s="74">
        <f t="shared" si="19"/>
        <v>0</v>
      </c>
      <c r="AS33" s="88"/>
      <c r="AT33" s="88"/>
      <c r="AU33" s="70" t="str">
        <f t="shared" si="20"/>
        <v>X</v>
      </c>
      <c r="AV33" s="74">
        <f t="shared" si="21"/>
        <v>0</v>
      </c>
      <c r="AW33" s="87"/>
      <c r="AX33" s="87"/>
      <c r="AY33" s="70" t="str">
        <f t="shared" si="22"/>
        <v>X</v>
      </c>
      <c r="AZ33" s="74">
        <f t="shared" si="23"/>
        <v>0</v>
      </c>
      <c r="BA33" s="91"/>
      <c r="BB33" s="91"/>
      <c r="BC33" s="70" t="str">
        <f t="shared" si="24"/>
        <v>X</v>
      </c>
      <c r="BD33" s="74">
        <f t="shared" si="25"/>
        <v>0</v>
      </c>
      <c r="BE33" s="87"/>
      <c r="BF33" s="87"/>
      <c r="BG33" s="70" t="str">
        <f t="shared" si="26"/>
        <v>X</v>
      </c>
      <c r="BH33" s="74">
        <f t="shared" si="27"/>
        <v>0</v>
      </c>
      <c r="BI33" s="87"/>
      <c r="BJ33" s="87"/>
      <c r="BK33" s="70" t="str">
        <f t="shared" si="28"/>
        <v>X</v>
      </c>
      <c r="BL33" s="74">
        <f t="shared" si="29"/>
        <v>0</v>
      </c>
      <c r="BM33" s="87"/>
      <c r="BN33" s="87"/>
      <c r="BO33" s="70" t="str">
        <f t="shared" si="30"/>
        <v>X</v>
      </c>
      <c r="BP33" s="74">
        <f t="shared" si="31"/>
        <v>0</v>
      </c>
      <c r="BQ33" s="87"/>
      <c r="BR33" s="87"/>
      <c r="BS33" s="70" t="str">
        <f t="shared" si="32"/>
        <v>X</v>
      </c>
      <c r="BT33" s="74">
        <f t="shared" si="33"/>
        <v>0</v>
      </c>
      <c r="BU33" s="87"/>
      <c r="BV33" s="87"/>
      <c r="BW33" s="70" t="str">
        <f t="shared" si="34"/>
        <v>X</v>
      </c>
      <c r="BX33" s="74">
        <f t="shared" si="35"/>
        <v>0</v>
      </c>
      <c r="BY33" s="87"/>
      <c r="BZ33" s="87"/>
      <c r="CA33" s="70" t="str">
        <f t="shared" si="36"/>
        <v>X</v>
      </c>
      <c r="CB33" s="74">
        <f t="shared" si="37"/>
        <v>0</v>
      </c>
      <c r="CC33" s="87"/>
      <c r="CD33" s="87"/>
      <c r="CE33" s="70" t="str">
        <f t="shared" si="38"/>
        <v>X</v>
      </c>
      <c r="CF33" s="74">
        <f t="shared" si="39"/>
        <v>0</v>
      </c>
      <c r="CG33" s="87"/>
      <c r="CH33" s="87"/>
      <c r="CI33" s="70" t="str">
        <f t="shared" si="40"/>
        <v>X</v>
      </c>
      <c r="CJ33" s="74">
        <f t="shared" si="41"/>
        <v>0</v>
      </c>
      <c r="CK33" s="88"/>
      <c r="CL33" s="88"/>
      <c r="CM33" s="70" t="str">
        <f t="shared" si="42"/>
        <v>X</v>
      </c>
      <c r="CN33" s="74">
        <f t="shared" si="43"/>
        <v>0</v>
      </c>
      <c r="CO33" s="87"/>
      <c r="CP33" s="87"/>
      <c r="CQ33" s="70" t="str">
        <f t="shared" si="44"/>
        <v>X</v>
      </c>
      <c r="CR33" s="74">
        <f t="shared" si="45"/>
        <v>0</v>
      </c>
      <c r="CS33" s="87"/>
      <c r="CT33" s="87"/>
      <c r="CU33" s="70" t="str">
        <f t="shared" si="46"/>
        <v>X</v>
      </c>
      <c r="CV33" s="74">
        <f t="shared" si="47"/>
        <v>0</v>
      </c>
      <c r="CW33" s="87"/>
      <c r="CX33" s="87"/>
      <c r="CY33" s="70" t="str">
        <f t="shared" si="48"/>
        <v>X</v>
      </c>
      <c r="CZ33" s="74">
        <f t="shared" si="49"/>
        <v>0</v>
      </c>
      <c r="DA33" s="87"/>
      <c r="DB33" s="87"/>
      <c r="DC33" s="70" t="str">
        <f t="shared" si="50"/>
        <v>X</v>
      </c>
      <c r="DD33" s="74">
        <f t="shared" si="51"/>
        <v>0</v>
      </c>
      <c r="DE33" s="87"/>
      <c r="DF33" s="87"/>
      <c r="DG33" s="70" t="str">
        <f t="shared" si="52"/>
        <v>X</v>
      </c>
      <c r="DH33" s="74">
        <f t="shared" si="53"/>
        <v>0</v>
      </c>
      <c r="DI33" s="87"/>
      <c r="DJ33" s="87"/>
      <c r="DK33" s="70" t="str">
        <f t="shared" si="54"/>
        <v>X</v>
      </c>
      <c r="DL33" s="74">
        <f t="shared" si="55"/>
        <v>0</v>
      </c>
      <c r="DM33" s="87"/>
      <c r="DN33" s="87"/>
      <c r="DO33" s="70" t="str">
        <f t="shared" si="56"/>
        <v>X</v>
      </c>
      <c r="DP33" s="74">
        <f t="shared" si="57"/>
        <v>0</v>
      </c>
    </row>
    <row r="34" spans="1:120" ht="16" customHeight="1" thickBot="1">
      <c r="A34" s="130">
        <v>44726</v>
      </c>
      <c r="B34" s="131" t="s">
        <v>113</v>
      </c>
      <c r="C34" s="85" t="s">
        <v>67</v>
      </c>
      <c r="D34" s="85" t="s">
        <v>68</v>
      </c>
      <c r="E34" s="84">
        <f t="shared" si="0"/>
        <v>0</v>
      </c>
      <c r="F34" s="23"/>
      <c r="G34" s="5"/>
      <c r="H34" s="77" t="b">
        <f t="shared" si="1"/>
        <v>0</v>
      </c>
      <c r="I34" s="87">
        <v>1</v>
      </c>
      <c r="J34" s="87">
        <v>1</v>
      </c>
      <c r="K34" s="70" t="str">
        <f t="shared" si="2"/>
        <v>X</v>
      </c>
      <c r="L34" s="74">
        <f t="shared" si="3"/>
        <v>0</v>
      </c>
      <c r="M34" s="87">
        <v>2</v>
      </c>
      <c r="N34" s="87">
        <v>2</v>
      </c>
      <c r="O34" s="70" t="str">
        <f t="shared" si="4"/>
        <v>X</v>
      </c>
      <c r="P34" s="74">
        <f t="shared" si="5"/>
        <v>0</v>
      </c>
      <c r="Q34" s="87">
        <v>2</v>
      </c>
      <c r="R34" s="87">
        <v>1</v>
      </c>
      <c r="S34" s="70" t="str">
        <f t="shared" si="6"/>
        <v>1</v>
      </c>
      <c r="T34" s="74">
        <f t="shared" si="7"/>
        <v>0</v>
      </c>
      <c r="U34" s="87">
        <v>1</v>
      </c>
      <c r="V34" s="87">
        <v>1</v>
      </c>
      <c r="W34" s="70" t="str">
        <f t="shared" si="8"/>
        <v>X</v>
      </c>
      <c r="X34" s="74">
        <f t="shared" si="9"/>
        <v>0</v>
      </c>
      <c r="Y34" s="87">
        <v>1</v>
      </c>
      <c r="Z34" s="87">
        <v>2</v>
      </c>
      <c r="AA34" s="70" t="str">
        <f t="shared" si="10"/>
        <v>2</v>
      </c>
      <c r="AB34" s="74">
        <f t="shared" si="11"/>
        <v>0</v>
      </c>
      <c r="AC34" s="87">
        <v>2</v>
      </c>
      <c r="AD34" s="87">
        <v>1</v>
      </c>
      <c r="AE34" s="70" t="str">
        <f t="shared" si="12"/>
        <v>1</v>
      </c>
      <c r="AF34" s="74">
        <f t="shared" si="13"/>
        <v>0</v>
      </c>
      <c r="AG34" s="87">
        <v>3</v>
      </c>
      <c r="AH34" s="87">
        <v>1</v>
      </c>
      <c r="AI34" s="70" t="str">
        <f t="shared" si="14"/>
        <v>1</v>
      </c>
      <c r="AJ34" s="74">
        <f t="shared" si="15"/>
        <v>0</v>
      </c>
      <c r="AK34" s="87">
        <v>3</v>
      </c>
      <c r="AL34" s="87">
        <v>1</v>
      </c>
      <c r="AM34" s="70" t="str">
        <f t="shared" si="16"/>
        <v>1</v>
      </c>
      <c r="AN34" s="74">
        <f t="shared" si="17"/>
        <v>0</v>
      </c>
      <c r="AO34" s="87">
        <v>2</v>
      </c>
      <c r="AP34" s="87">
        <v>2</v>
      </c>
      <c r="AQ34" s="70" t="str">
        <f t="shared" si="18"/>
        <v>X</v>
      </c>
      <c r="AR34" s="74">
        <f t="shared" si="19"/>
        <v>0</v>
      </c>
      <c r="AS34" s="88">
        <v>1</v>
      </c>
      <c r="AT34" s="88">
        <v>1</v>
      </c>
      <c r="AU34" s="70" t="str">
        <f t="shared" si="20"/>
        <v>X</v>
      </c>
      <c r="AV34" s="74">
        <f t="shared" si="21"/>
        <v>0</v>
      </c>
      <c r="AW34" s="87">
        <v>3</v>
      </c>
      <c r="AX34" s="87">
        <v>1</v>
      </c>
      <c r="AY34" s="70" t="str">
        <f t="shared" si="22"/>
        <v>1</v>
      </c>
      <c r="AZ34" s="74">
        <f t="shared" si="23"/>
        <v>0</v>
      </c>
      <c r="BA34" s="91">
        <v>1</v>
      </c>
      <c r="BB34" s="91">
        <v>1</v>
      </c>
      <c r="BC34" s="70" t="str">
        <f t="shared" si="24"/>
        <v>X</v>
      </c>
      <c r="BD34" s="74">
        <f t="shared" si="25"/>
        <v>0</v>
      </c>
      <c r="BE34" s="87">
        <v>2</v>
      </c>
      <c r="BF34" s="87">
        <v>0</v>
      </c>
      <c r="BG34" s="70" t="str">
        <f t="shared" si="26"/>
        <v>1</v>
      </c>
      <c r="BH34" s="74">
        <f t="shared" si="27"/>
        <v>0</v>
      </c>
      <c r="BI34" s="87">
        <v>2</v>
      </c>
      <c r="BJ34" s="87">
        <v>1</v>
      </c>
      <c r="BK34" s="70" t="str">
        <f t="shared" si="28"/>
        <v>1</v>
      </c>
      <c r="BL34" s="74">
        <f t="shared" si="29"/>
        <v>0</v>
      </c>
      <c r="BM34" s="87">
        <v>2</v>
      </c>
      <c r="BN34" s="87">
        <v>0</v>
      </c>
      <c r="BO34" s="70" t="str">
        <f t="shared" si="30"/>
        <v>1</v>
      </c>
      <c r="BP34" s="74">
        <f t="shared" si="31"/>
        <v>0</v>
      </c>
      <c r="BQ34" s="87">
        <v>3</v>
      </c>
      <c r="BR34" s="87">
        <v>2</v>
      </c>
      <c r="BS34" s="70" t="str">
        <f t="shared" si="32"/>
        <v>1</v>
      </c>
      <c r="BT34" s="74">
        <f t="shared" si="33"/>
        <v>0</v>
      </c>
      <c r="BU34" s="87">
        <v>1</v>
      </c>
      <c r="BV34" s="87">
        <v>1</v>
      </c>
      <c r="BW34" s="70" t="str">
        <f t="shared" si="34"/>
        <v>X</v>
      </c>
      <c r="BX34" s="74">
        <f t="shared" si="35"/>
        <v>0</v>
      </c>
      <c r="BY34" s="87">
        <v>2</v>
      </c>
      <c r="BZ34" s="87">
        <v>1</v>
      </c>
      <c r="CA34" s="70" t="str">
        <f t="shared" si="36"/>
        <v>1</v>
      </c>
      <c r="CB34" s="74">
        <f t="shared" si="37"/>
        <v>0</v>
      </c>
      <c r="CC34" s="87">
        <v>1</v>
      </c>
      <c r="CD34" s="87">
        <v>1</v>
      </c>
      <c r="CE34" s="70" t="str">
        <f t="shared" si="38"/>
        <v>X</v>
      </c>
      <c r="CF34" s="74">
        <f t="shared" si="39"/>
        <v>0</v>
      </c>
      <c r="CG34" s="87">
        <v>2</v>
      </c>
      <c r="CH34" s="87">
        <v>1</v>
      </c>
      <c r="CI34" s="70" t="str">
        <f t="shared" si="40"/>
        <v>1</v>
      </c>
      <c r="CJ34" s="74">
        <f t="shared" si="41"/>
        <v>0</v>
      </c>
      <c r="CK34" s="88">
        <v>2</v>
      </c>
      <c r="CL34" s="88">
        <v>1</v>
      </c>
      <c r="CM34" s="70" t="str">
        <f t="shared" si="42"/>
        <v>1</v>
      </c>
      <c r="CN34" s="74">
        <f t="shared" si="43"/>
        <v>0</v>
      </c>
      <c r="CO34" s="87">
        <v>1</v>
      </c>
      <c r="CP34" s="87">
        <v>0</v>
      </c>
      <c r="CQ34" s="70" t="str">
        <f t="shared" si="44"/>
        <v>1</v>
      </c>
      <c r="CR34" s="74">
        <f t="shared" si="45"/>
        <v>0</v>
      </c>
      <c r="CS34" s="87">
        <v>2</v>
      </c>
      <c r="CT34" s="87">
        <v>1</v>
      </c>
      <c r="CU34" s="70" t="str">
        <f t="shared" si="46"/>
        <v>1</v>
      </c>
      <c r="CV34" s="74">
        <f t="shared" si="47"/>
        <v>0</v>
      </c>
      <c r="CW34" s="87">
        <v>2</v>
      </c>
      <c r="CX34" s="87">
        <v>1</v>
      </c>
      <c r="CY34" s="70" t="str">
        <f t="shared" si="48"/>
        <v>1</v>
      </c>
      <c r="CZ34" s="74">
        <f t="shared" si="49"/>
        <v>0</v>
      </c>
      <c r="DA34" s="87">
        <v>2</v>
      </c>
      <c r="DB34" s="87">
        <v>1</v>
      </c>
      <c r="DC34" s="70" t="str">
        <f t="shared" si="50"/>
        <v>1</v>
      </c>
      <c r="DD34" s="74">
        <f t="shared" si="51"/>
        <v>0</v>
      </c>
      <c r="DE34" s="87">
        <v>3</v>
      </c>
      <c r="DF34" s="87">
        <v>1</v>
      </c>
      <c r="DG34" s="70" t="str">
        <f t="shared" si="52"/>
        <v>1</v>
      </c>
      <c r="DH34" s="74">
        <f t="shared" si="53"/>
        <v>0</v>
      </c>
      <c r="DI34" s="87">
        <v>3</v>
      </c>
      <c r="DJ34" s="87">
        <v>1</v>
      </c>
      <c r="DK34" s="70" t="str">
        <f t="shared" si="54"/>
        <v>1</v>
      </c>
      <c r="DL34" s="74">
        <f t="shared" si="55"/>
        <v>0</v>
      </c>
      <c r="DM34" s="87">
        <v>1</v>
      </c>
      <c r="DN34" s="87">
        <v>2</v>
      </c>
      <c r="DO34" s="70" t="str">
        <f t="shared" si="56"/>
        <v>2</v>
      </c>
      <c r="DP34" s="74">
        <f t="shared" si="57"/>
        <v>0</v>
      </c>
    </row>
    <row r="35" spans="1:120" ht="16" customHeight="1" thickBot="1">
      <c r="A35" s="130">
        <v>44726</v>
      </c>
      <c r="B35" s="131" t="s">
        <v>104</v>
      </c>
      <c r="C35" s="85" t="s">
        <v>69</v>
      </c>
      <c r="D35" s="85" t="s">
        <v>70</v>
      </c>
      <c r="E35" s="84">
        <f t="shared" si="0"/>
        <v>0</v>
      </c>
      <c r="F35" s="23"/>
      <c r="G35" s="5"/>
      <c r="H35" s="77" t="b">
        <f t="shared" si="1"/>
        <v>0</v>
      </c>
      <c r="I35" s="87">
        <v>2</v>
      </c>
      <c r="J35" s="87">
        <v>0</v>
      </c>
      <c r="K35" s="70" t="str">
        <f t="shared" si="2"/>
        <v>1</v>
      </c>
      <c r="L35" s="74">
        <f t="shared" si="3"/>
        <v>0</v>
      </c>
      <c r="M35" s="87">
        <v>1</v>
      </c>
      <c r="N35" s="87">
        <v>1</v>
      </c>
      <c r="O35" s="70" t="str">
        <f t="shared" si="4"/>
        <v>X</v>
      </c>
      <c r="P35" s="74">
        <f t="shared" si="5"/>
        <v>0</v>
      </c>
      <c r="Q35" s="87">
        <v>1</v>
      </c>
      <c r="R35" s="87">
        <v>0</v>
      </c>
      <c r="S35" s="70" t="str">
        <f t="shared" si="6"/>
        <v>1</v>
      </c>
      <c r="T35" s="74">
        <f t="shared" si="7"/>
        <v>0</v>
      </c>
      <c r="U35" s="87">
        <v>1</v>
      </c>
      <c r="V35" s="87">
        <v>0</v>
      </c>
      <c r="W35" s="70" t="str">
        <f t="shared" si="8"/>
        <v>1</v>
      </c>
      <c r="X35" s="74">
        <f t="shared" si="9"/>
        <v>0</v>
      </c>
      <c r="Y35" s="87">
        <v>2</v>
      </c>
      <c r="Z35" s="87">
        <v>1</v>
      </c>
      <c r="AA35" s="70" t="str">
        <f t="shared" si="10"/>
        <v>1</v>
      </c>
      <c r="AB35" s="74">
        <f t="shared" si="11"/>
        <v>0</v>
      </c>
      <c r="AC35" s="87">
        <v>1</v>
      </c>
      <c r="AD35" s="87">
        <v>0</v>
      </c>
      <c r="AE35" s="70" t="str">
        <f t="shared" si="12"/>
        <v>1</v>
      </c>
      <c r="AF35" s="74">
        <f t="shared" si="13"/>
        <v>0</v>
      </c>
      <c r="AG35" s="87">
        <v>2</v>
      </c>
      <c r="AH35" s="87">
        <v>0</v>
      </c>
      <c r="AI35" s="70" t="str">
        <f t="shared" si="14"/>
        <v>1</v>
      </c>
      <c r="AJ35" s="74">
        <f t="shared" si="15"/>
        <v>0</v>
      </c>
      <c r="AK35" s="87">
        <v>1</v>
      </c>
      <c r="AL35" s="87">
        <v>0</v>
      </c>
      <c r="AM35" s="70" t="str">
        <f t="shared" si="16"/>
        <v>1</v>
      </c>
      <c r="AN35" s="74">
        <f t="shared" si="17"/>
        <v>0</v>
      </c>
      <c r="AO35" s="87">
        <v>1</v>
      </c>
      <c r="AP35" s="87">
        <v>1</v>
      </c>
      <c r="AQ35" s="70" t="str">
        <f t="shared" si="18"/>
        <v>X</v>
      </c>
      <c r="AR35" s="74">
        <f t="shared" si="19"/>
        <v>0</v>
      </c>
      <c r="AS35" s="88">
        <v>2</v>
      </c>
      <c r="AT35" s="88">
        <v>0</v>
      </c>
      <c r="AU35" s="70" t="str">
        <f t="shared" si="20"/>
        <v>1</v>
      </c>
      <c r="AV35" s="74">
        <f t="shared" si="21"/>
        <v>0</v>
      </c>
      <c r="AW35" s="87">
        <v>1</v>
      </c>
      <c r="AX35" s="87">
        <v>0</v>
      </c>
      <c r="AY35" s="70" t="str">
        <f t="shared" si="22"/>
        <v>1</v>
      </c>
      <c r="AZ35" s="74">
        <f t="shared" si="23"/>
        <v>0</v>
      </c>
      <c r="BA35" s="91">
        <v>1</v>
      </c>
      <c r="BB35" s="91">
        <v>1</v>
      </c>
      <c r="BC35" s="70" t="str">
        <f t="shared" si="24"/>
        <v>X</v>
      </c>
      <c r="BD35" s="74">
        <f t="shared" si="25"/>
        <v>0</v>
      </c>
      <c r="BE35" s="87">
        <v>1</v>
      </c>
      <c r="BF35" s="87">
        <v>0</v>
      </c>
      <c r="BG35" s="70" t="str">
        <f t="shared" si="26"/>
        <v>1</v>
      </c>
      <c r="BH35" s="74">
        <f t="shared" si="27"/>
        <v>0</v>
      </c>
      <c r="BI35" s="87">
        <v>2</v>
      </c>
      <c r="BJ35" s="87">
        <v>1</v>
      </c>
      <c r="BK35" s="70" t="str">
        <f t="shared" si="28"/>
        <v>1</v>
      </c>
      <c r="BL35" s="74">
        <f t="shared" si="29"/>
        <v>0</v>
      </c>
      <c r="BM35" s="87">
        <v>1</v>
      </c>
      <c r="BN35" s="87">
        <v>0</v>
      </c>
      <c r="BO35" s="70" t="str">
        <f t="shared" si="30"/>
        <v>1</v>
      </c>
      <c r="BP35" s="74">
        <f t="shared" si="31"/>
        <v>0</v>
      </c>
      <c r="BQ35" s="87">
        <v>2</v>
      </c>
      <c r="BR35" s="87">
        <v>1</v>
      </c>
      <c r="BS35" s="70" t="str">
        <f t="shared" si="32"/>
        <v>1</v>
      </c>
      <c r="BT35" s="74">
        <f t="shared" si="33"/>
        <v>0</v>
      </c>
      <c r="BU35" s="87">
        <v>2</v>
      </c>
      <c r="BV35" s="87">
        <v>0</v>
      </c>
      <c r="BW35" s="70" t="str">
        <f t="shared" si="34"/>
        <v>1</v>
      </c>
      <c r="BX35" s="74">
        <f t="shared" si="35"/>
        <v>0</v>
      </c>
      <c r="BY35" s="87">
        <v>2</v>
      </c>
      <c r="BZ35" s="87">
        <v>0</v>
      </c>
      <c r="CA35" s="70" t="str">
        <f t="shared" si="36"/>
        <v>1</v>
      </c>
      <c r="CB35" s="74">
        <f t="shared" si="37"/>
        <v>0</v>
      </c>
      <c r="CC35" s="87">
        <v>3</v>
      </c>
      <c r="CD35" s="87">
        <v>1</v>
      </c>
      <c r="CE35" s="70" t="str">
        <f t="shared" si="38"/>
        <v>1</v>
      </c>
      <c r="CF35" s="74">
        <f t="shared" si="39"/>
        <v>0</v>
      </c>
      <c r="CG35" s="87">
        <v>2</v>
      </c>
      <c r="CH35" s="87">
        <v>0</v>
      </c>
      <c r="CI35" s="70" t="str">
        <f t="shared" si="40"/>
        <v>1</v>
      </c>
      <c r="CJ35" s="74">
        <f t="shared" si="41"/>
        <v>0</v>
      </c>
      <c r="CK35" s="88">
        <v>1</v>
      </c>
      <c r="CL35" s="88">
        <v>1</v>
      </c>
      <c r="CM35" s="70" t="str">
        <f t="shared" si="42"/>
        <v>X</v>
      </c>
      <c r="CN35" s="74">
        <f t="shared" si="43"/>
        <v>0</v>
      </c>
      <c r="CO35" s="87">
        <v>0</v>
      </c>
      <c r="CP35" s="87">
        <v>0</v>
      </c>
      <c r="CQ35" s="70" t="str">
        <f t="shared" si="44"/>
        <v>X</v>
      </c>
      <c r="CR35" s="74">
        <f t="shared" si="45"/>
        <v>0</v>
      </c>
      <c r="CS35" s="87">
        <v>2</v>
      </c>
      <c r="CT35" s="87">
        <v>1</v>
      </c>
      <c r="CU35" s="70" t="str">
        <f t="shared" si="46"/>
        <v>1</v>
      </c>
      <c r="CV35" s="74">
        <f t="shared" si="47"/>
        <v>0</v>
      </c>
      <c r="CW35" s="87">
        <v>1</v>
      </c>
      <c r="CX35" s="87">
        <v>0</v>
      </c>
      <c r="CY35" s="70" t="str">
        <f t="shared" si="48"/>
        <v>1</v>
      </c>
      <c r="CZ35" s="74">
        <f t="shared" si="49"/>
        <v>0</v>
      </c>
      <c r="DA35" s="87">
        <v>1</v>
      </c>
      <c r="DB35" s="87">
        <v>1</v>
      </c>
      <c r="DC35" s="70" t="str">
        <f t="shared" si="50"/>
        <v>X</v>
      </c>
      <c r="DD35" s="74">
        <f t="shared" si="51"/>
        <v>0</v>
      </c>
      <c r="DE35" s="87">
        <v>2</v>
      </c>
      <c r="DF35" s="87">
        <v>1</v>
      </c>
      <c r="DG35" s="70" t="str">
        <f t="shared" si="52"/>
        <v>1</v>
      </c>
      <c r="DH35" s="74">
        <f t="shared" si="53"/>
        <v>0</v>
      </c>
      <c r="DI35" s="87">
        <v>2</v>
      </c>
      <c r="DJ35" s="87">
        <v>0</v>
      </c>
      <c r="DK35" s="70" t="str">
        <f t="shared" si="54"/>
        <v>1</v>
      </c>
      <c r="DL35" s="74">
        <f t="shared" si="55"/>
        <v>0</v>
      </c>
      <c r="DM35" s="87">
        <v>1</v>
      </c>
      <c r="DN35" s="87">
        <v>0</v>
      </c>
      <c r="DO35" s="70" t="str">
        <f t="shared" si="56"/>
        <v>1</v>
      </c>
      <c r="DP35" s="74">
        <f t="shared" si="57"/>
        <v>0</v>
      </c>
    </row>
    <row r="36" spans="1:120" ht="16" customHeight="1" thickBot="1">
      <c r="A36" s="130">
        <v>44731</v>
      </c>
      <c r="B36" s="131" t="s">
        <v>111</v>
      </c>
      <c r="C36" s="85" t="s">
        <v>67</v>
      </c>
      <c r="D36" s="85" t="s">
        <v>69</v>
      </c>
      <c r="E36" s="84">
        <f t="shared" ref="E36:E67" si="58">L36+P36+T36+X36+AB36+AF36+AJ36+AN36+AR36+AV36+AZ36+BD36+BH36+BL36+BP36+BT36+BX36+CB36+CF36+CJ36+CN36+CR36+CV36+CZ36+DD36+DH36+DL36</f>
        <v>0</v>
      </c>
      <c r="F36" s="23"/>
      <c r="G36" s="5"/>
      <c r="H36" s="77" t="b">
        <f t="shared" ref="H36:H67" si="59">IF(ISNUMBER(F36),IF(F36&gt;G36,"1",IF(F36&lt;G36,"2","X")))</f>
        <v>0</v>
      </c>
      <c r="I36" s="87">
        <v>2</v>
      </c>
      <c r="J36" s="87">
        <v>1</v>
      </c>
      <c r="K36" s="70" t="str">
        <f t="shared" ref="K36:K67" si="60">IF(I36&gt;J36,"1",IF(I36&lt;J36,"2","X"))</f>
        <v>1</v>
      </c>
      <c r="L36" s="74">
        <f t="shared" ref="L36:L67" si="61">IF(K36=$H36,IF(I36=$F36,IF(J36=$G36,IF($F36-$G36&gt;=3,6,IF($G36-$F36&gt;=3,6,IF($F36+$G36&gt;=4,6,5))),3),3),0)</f>
        <v>0</v>
      </c>
      <c r="M36" s="87">
        <v>3</v>
      </c>
      <c r="N36" s="87">
        <v>2</v>
      </c>
      <c r="O36" s="70" t="str">
        <f t="shared" ref="O36:O67" si="62">IF(M36&gt;N36,"1",IF(M36&lt;N36,"2","X"))</f>
        <v>1</v>
      </c>
      <c r="P36" s="74">
        <f t="shared" ref="P36:P67" si="63">IF(O36=$H36,IF(M36=$F36,IF(N36=$G36,IF($F36-$G36&gt;=3,6,IF($G36-$F36&gt;=3,6,IF($F36+$G36&gt;=4,6,5))),3),3),0)</f>
        <v>0</v>
      </c>
      <c r="Q36" s="87">
        <v>0</v>
      </c>
      <c r="R36" s="87">
        <v>0</v>
      </c>
      <c r="S36" s="70" t="str">
        <f t="shared" ref="S36:S67" si="64">IF(Q36&gt;R36,"1",IF(Q36&lt;R36,"2","X"))</f>
        <v>X</v>
      </c>
      <c r="T36" s="74">
        <f t="shared" ref="T36:T67" si="65">IF(S36=$H36,IF(Q36=$F36,IF(R36=$G36,IF($F36-$G36&gt;=3,6,IF($G36-$F36&gt;=3,6,IF($F36+$G36&gt;=4,6,5))),3),3),0)</f>
        <v>0</v>
      </c>
      <c r="U36" s="87">
        <v>2</v>
      </c>
      <c r="V36" s="87">
        <v>1</v>
      </c>
      <c r="W36" s="70" t="str">
        <f t="shared" ref="W36:W67" si="66">IF(U36&gt;V36,"1",IF(U36&lt;V36,"2","X"))</f>
        <v>1</v>
      </c>
      <c r="X36" s="74">
        <f t="shared" ref="X36:X67" si="67">IF(W36=$H36,IF(U36=$F36,IF(V36=$G36,IF($F36-$G36&gt;=3,6,IF($G36-$F36&gt;=3,6,IF($F36+$G36&gt;=4,6,5))),3),3),0)</f>
        <v>0</v>
      </c>
      <c r="Y36" s="87">
        <v>3</v>
      </c>
      <c r="Z36" s="87">
        <v>0</v>
      </c>
      <c r="AA36" s="70" t="str">
        <f t="shared" ref="AA36:AA67" si="68">IF(Y36&gt;Z36,"1",IF(Y36&lt;Z36,"2","X"))</f>
        <v>1</v>
      </c>
      <c r="AB36" s="74">
        <f t="shared" ref="AB36:AB67" si="69">IF(AA36=$H36,IF(Y36=$F36,IF(Z36=$G36,IF($F36-$G36&gt;=3,6,IF($G36-$F36&gt;=3,6,IF($F36+$G36&gt;=4,6,5))),3),3),0)</f>
        <v>0</v>
      </c>
      <c r="AC36" s="87">
        <v>1</v>
      </c>
      <c r="AD36" s="87">
        <v>0</v>
      </c>
      <c r="AE36" s="70" t="str">
        <f t="shared" ref="AE36:AE67" si="70">IF(AC36&gt;AD36,"1",IF(AC36&lt;AD36,"2","X"))</f>
        <v>1</v>
      </c>
      <c r="AF36" s="74">
        <f t="shared" ref="AF36:AF67" si="71">IF(AE36=$H36,IF(AC36=$F36,IF(AD36=$G36,IF($F36-$G36&gt;=3,6,IF($G36-$F36&gt;=3,6,IF($F36+$G36&gt;=4,6,5))),3),3),0)</f>
        <v>0</v>
      </c>
      <c r="AG36" s="87">
        <v>1</v>
      </c>
      <c r="AH36" s="87">
        <v>1</v>
      </c>
      <c r="AI36" s="70" t="str">
        <f t="shared" ref="AI36:AI67" si="72">IF(AG36&gt;AH36,"1",IF(AG36&lt;AH36,"2","X"))</f>
        <v>X</v>
      </c>
      <c r="AJ36" s="74">
        <f t="shared" ref="AJ36:AJ67" si="73">IF(AI36=$H36,IF(AG36=$F36,IF(AH36=$G36,IF($F36-$G36&gt;=3,6,IF($G36-$F36&gt;=3,6,IF($F36+$G36&gt;=4,6,5))),3),3),0)</f>
        <v>0</v>
      </c>
      <c r="AK36" s="87">
        <v>1</v>
      </c>
      <c r="AL36" s="87">
        <v>1</v>
      </c>
      <c r="AM36" s="70" t="str">
        <f t="shared" ref="AM36:AM67" si="74">IF(AK36&gt;AL36,"1",IF(AK36&lt;AL36,"2","X"))</f>
        <v>X</v>
      </c>
      <c r="AN36" s="74">
        <f t="shared" ref="AN36:AN67" si="75">IF(AM36=$H36,IF(AK36=$F36,IF(AL36=$G36,IF($F36-$G36&gt;=3,6,IF($G36-$F36&gt;=3,6,IF($F36+$G36&gt;=4,6,5))),3),3),0)</f>
        <v>0</v>
      </c>
      <c r="AO36" s="87">
        <v>3</v>
      </c>
      <c r="AP36" s="87">
        <v>1</v>
      </c>
      <c r="AQ36" s="70" t="str">
        <f t="shared" ref="AQ36:AQ67" si="76">IF(AO36&gt;AP36,"1",IF(AO36&lt;AP36,"2","X"))</f>
        <v>1</v>
      </c>
      <c r="AR36" s="74">
        <f t="shared" ref="AR36:AR67" si="77">IF(AQ36=$H36,IF(AO36=$F36,IF(AP36=$G36,IF($F36-$G36&gt;=3,6,IF($G36-$F36&gt;=3,6,IF($F36+$G36&gt;=4,6,5))),3),3),0)</f>
        <v>0</v>
      </c>
      <c r="AS36" s="88">
        <v>2</v>
      </c>
      <c r="AT36" s="88">
        <v>1</v>
      </c>
      <c r="AU36" s="70" t="str">
        <f t="shared" ref="AU36:AU67" si="78">IF(AS36&gt;AT36,"1",IF(AS36&lt;AT36,"2","X"))</f>
        <v>1</v>
      </c>
      <c r="AV36" s="74">
        <f t="shared" ref="AV36:AV67" si="79">IF(AU36=$H36,IF(AS36=$F36,IF(AT36=$G36,IF($F36-$G36&gt;=3,6,IF($G36-$F36&gt;=3,6,IF($F36+$G36&gt;=4,6,5))),3),3),0)</f>
        <v>0</v>
      </c>
      <c r="AW36" s="87">
        <v>2</v>
      </c>
      <c r="AX36" s="87">
        <v>1</v>
      </c>
      <c r="AY36" s="70" t="str">
        <f t="shared" ref="AY36:AY67" si="80">IF(AW36&gt;AX36,"1",IF(AW36&lt;AX36,"2","X"))</f>
        <v>1</v>
      </c>
      <c r="AZ36" s="74">
        <f t="shared" ref="AZ36:AZ67" si="81">IF(AY36=$H36,IF(AW36=$F36,IF(AX36=$G36,IF($F36-$G36&gt;=3,6,IF($G36-$F36&gt;=3,6,IF($F36+$G36&gt;=4,6,5))),3),3),0)</f>
        <v>0</v>
      </c>
      <c r="BA36" s="91">
        <v>2</v>
      </c>
      <c r="BB36" s="91">
        <v>0</v>
      </c>
      <c r="BC36" s="70" t="str">
        <f t="shared" ref="BC36:BC67" si="82">IF(BA36&gt;BB36,"1",IF(BA36&lt;BB36,"2","X"))</f>
        <v>1</v>
      </c>
      <c r="BD36" s="74">
        <f t="shared" ref="BD36:BD67" si="83">IF(BC36=$H36,IF(BA36=$F36,IF(BB36=$G36,IF($F36-$G36&gt;=3,6,IF($G36-$F36&gt;=3,6,IF($F36+$G36&gt;=4,6,5))),3),3),0)</f>
        <v>0</v>
      </c>
      <c r="BE36" s="87">
        <v>1</v>
      </c>
      <c r="BF36" s="87">
        <v>1</v>
      </c>
      <c r="BG36" s="70" t="str">
        <f t="shared" ref="BG36:BG67" si="84">IF(BE36&gt;BF36,"1",IF(BE36&lt;BF36,"2","X"))</f>
        <v>X</v>
      </c>
      <c r="BH36" s="74">
        <f t="shared" ref="BH36:BH67" si="85">IF(BG36=$H36,IF(BE36=$F36,IF(BF36=$G36,IF($F36-$G36&gt;=3,6,IF($G36-$F36&gt;=3,6,IF($F36+$G36&gt;=4,6,5))),3),3),0)</f>
        <v>0</v>
      </c>
      <c r="BI36" s="87">
        <v>2</v>
      </c>
      <c r="BJ36" s="87">
        <v>1</v>
      </c>
      <c r="BK36" s="70" t="str">
        <f t="shared" ref="BK36:BK67" si="86">IF(BI36&gt;BJ36,"1",IF(BI36&lt;BJ36,"2","X"))</f>
        <v>1</v>
      </c>
      <c r="BL36" s="74">
        <f t="shared" ref="BL36:BL67" si="87">IF(BK36=$H36,IF(BI36=$F36,IF(BJ36=$G36,IF($F36-$G36&gt;=3,6,IF($G36-$F36&gt;=3,6,IF($F36+$G36&gt;=4,6,5))),3),3),0)</f>
        <v>0</v>
      </c>
      <c r="BM36" s="87">
        <v>1</v>
      </c>
      <c r="BN36" s="87">
        <v>1</v>
      </c>
      <c r="BO36" s="70" t="str">
        <f t="shared" ref="BO36:BO67" si="88">IF(BM36&gt;BN36,"1",IF(BM36&lt;BN36,"2","X"))</f>
        <v>X</v>
      </c>
      <c r="BP36" s="74">
        <f t="shared" ref="BP36:BP67" si="89">IF(BO36=$H36,IF(BM36=$F36,IF(BN36=$G36,IF($F36-$G36&gt;=3,6,IF($G36-$F36&gt;=3,6,IF($F36+$G36&gt;=4,6,5))),3),3),0)</f>
        <v>0</v>
      </c>
      <c r="BQ36" s="87">
        <v>2</v>
      </c>
      <c r="BR36" s="87">
        <v>2</v>
      </c>
      <c r="BS36" s="70" t="str">
        <f t="shared" ref="BS36:BS67" si="90">IF(BQ36&gt;BR36,"1",IF(BQ36&lt;BR36,"2","X"))</f>
        <v>X</v>
      </c>
      <c r="BT36" s="74">
        <f t="shared" ref="BT36:BT67" si="91">IF(BS36=$H36,IF(BQ36=$F36,IF(BR36=$G36,IF($F36-$G36&gt;=3,6,IF($G36-$F36&gt;=3,6,IF($F36+$G36&gt;=4,6,5))),3),3),0)</f>
        <v>0</v>
      </c>
      <c r="BU36" s="87">
        <v>2</v>
      </c>
      <c r="BV36" s="87">
        <v>1</v>
      </c>
      <c r="BW36" s="70" t="str">
        <f t="shared" ref="BW36:BW67" si="92">IF(BU36&gt;BV36,"1",IF(BU36&lt;BV36,"2","X"))</f>
        <v>1</v>
      </c>
      <c r="BX36" s="74">
        <f t="shared" ref="BX36:BX67" si="93">IF(BW36=$H36,IF(BU36=$F36,IF(BV36=$G36,IF($F36-$G36&gt;=3,6,IF($G36-$F36&gt;=3,6,IF($F36+$G36&gt;=4,6,5))),3),3),0)</f>
        <v>0</v>
      </c>
      <c r="BY36" s="87">
        <v>2</v>
      </c>
      <c r="BZ36" s="87">
        <v>0</v>
      </c>
      <c r="CA36" s="70" t="str">
        <f t="shared" ref="CA36:CA67" si="94">IF(BY36&gt;BZ36,"1",IF(BY36&lt;BZ36,"2","X"))</f>
        <v>1</v>
      </c>
      <c r="CB36" s="74">
        <f t="shared" ref="CB36:CB67" si="95">IF(CA36=$H36,IF(BY36=$F36,IF(BZ36=$G36,IF($F36-$G36&gt;=3,6,IF($G36-$F36&gt;=3,6,IF($F36+$G36&gt;=4,6,5))),3),3),0)</f>
        <v>0</v>
      </c>
      <c r="CC36" s="87">
        <v>2</v>
      </c>
      <c r="CD36" s="87">
        <v>1</v>
      </c>
      <c r="CE36" s="70" t="str">
        <f t="shared" ref="CE36:CE67" si="96">IF(CC36&gt;CD36,"1",IF(CC36&lt;CD36,"2","X"))</f>
        <v>1</v>
      </c>
      <c r="CF36" s="74">
        <f t="shared" ref="CF36:CF67" si="97">IF(CE36=$H36,IF(CC36=$F36,IF(CD36=$G36,IF($F36-$G36&gt;=3,6,IF($G36-$F36&gt;=3,6,IF($F36+$G36&gt;=4,6,5))),3),3),0)</f>
        <v>0</v>
      </c>
      <c r="CG36" s="87">
        <v>1</v>
      </c>
      <c r="CH36" s="87">
        <v>1</v>
      </c>
      <c r="CI36" s="70" t="str">
        <f t="shared" ref="CI36:CI67" si="98">IF(CG36&gt;CH36,"1",IF(CG36&lt;CH36,"2","X"))</f>
        <v>X</v>
      </c>
      <c r="CJ36" s="74">
        <f t="shared" ref="CJ36:CJ67" si="99">IF(CI36=$H36,IF(CG36=$F36,IF(CH36=$G36,IF($F36-$G36&gt;=3,6,IF($G36-$F36&gt;=3,6,IF($F36+$G36&gt;=4,6,5))),3),3),0)</f>
        <v>0</v>
      </c>
      <c r="CK36" s="88">
        <v>2</v>
      </c>
      <c r="CL36" s="88">
        <v>1</v>
      </c>
      <c r="CM36" s="70" t="str">
        <f t="shared" ref="CM36:CM67" si="100">IF(CK36&gt;CL36,"1",IF(CK36&lt;CL36,"2","X"))</f>
        <v>1</v>
      </c>
      <c r="CN36" s="74">
        <f t="shared" ref="CN36:CN67" si="101">IF(CM36=$H36,IF(CK36=$F36,IF(CL36=$G36,IF($F36-$G36&gt;=3,6,IF($G36-$F36&gt;=3,6,IF($F36+$G36&gt;=4,6,5))),3),3),0)</f>
        <v>0</v>
      </c>
      <c r="CO36" s="87">
        <v>1</v>
      </c>
      <c r="CP36" s="87">
        <v>1</v>
      </c>
      <c r="CQ36" s="70" t="str">
        <f t="shared" ref="CQ36:CQ67" si="102">IF(CO36&gt;CP36,"1",IF(CO36&lt;CP36,"2","X"))</f>
        <v>X</v>
      </c>
      <c r="CR36" s="74">
        <f t="shared" ref="CR36:CR67" si="103">IF(CQ36=$H36,IF(CO36=$F36,IF(CP36=$G36,IF($F36-$G36&gt;=3,6,IF($G36-$F36&gt;=3,6,IF($F36+$G36&gt;=4,6,5))),3),3),0)</f>
        <v>0</v>
      </c>
      <c r="CS36" s="87">
        <v>2</v>
      </c>
      <c r="CT36" s="87">
        <v>2</v>
      </c>
      <c r="CU36" s="70" t="str">
        <f t="shared" ref="CU36:CU67" si="104">IF(CS36&gt;CT36,"1",IF(CS36&lt;CT36,"2","X"))</f>
        <v>X</v>
      </c>
      <c r="CV36" s="74">
        <f t="shared" ref="CV36:CV67" si="105">IF(CU36=$H36,IF(CS36=$F36,IF(CT36=$G36,IF($F36-$G36&gt;=3,6,IF($G36-$F36&gt;=3,6,IF($F36+$G36&gt;=4,6,5))),3),3),0)</f>
        <v>0</v>
      </c>
      <c r="CW36" s="87">
        <v>2</v>
      </c>
      <c r="CX36" s="87">
        <v>0</v>
      </c>
      <c r="CY36" s="70" t="str">
        <f t="shared" ref="CY36:CY67" si="106">IF(CW36&gt;CX36,"1",IF(CW36&lt;CX36,"2","X"))</f>
        <v>1</v>
      </c>
      <c r="CZ36" s="74">
        <f t="shared" ref="CZ36:CZ67" si="107">IF(CY36=$H36,IF(CW36=$F36,IF(CX36=$G36,IF($F36-$G36&gt;=3,6,IF($G36-$F36&gt;=3,6,IF($F36+$G36&gt;=4,6,5))),3),3),0)</f>
        <v>0</v>
      </c>
      <c r="DA36" s="87">
        <v>2</v>
      </c>
      <c r="DB36" s="87">
        <v>0</v>
      </c>
      <c r="DC36" s="70" t="str">
        <f t="shared" ref="DC36:DC67" si="108">IF(DA36&gt;DB36,"1",IF(DA36&lt;DB36,"2","X"))</f>
        <v>1</v>
      </c>
      <c r="DD36" s="74">
        <f t="shared" ref="DD36:DD67" si="109">IF(DC36=$H36,IF(DA36=$F36,IF(DB36=$G36,IF($F36-$G36&gt;=3,6,IF($G36-$F36&gt;=3,6,IF($F36+$G36&gt;=4,6,5))),3),3),0)</f>
        <v>0</v>
      </c>
      <c r="DE36" s="87">
        <v>2</v>
      </c>
      <c r="DF36" s="87">
        <v>1</v>
      </c>
      <c r="DG36" s="70" t="str">
        <f t="shared" ref="DG36:DG67" si="110">IF(DE36&gt;DF36,"1",IF(DE36&lt;DF36,"2","X"))</f>
        <v>1</v>
      </c>
      <c r="DH36" s="74">
        <f t="shared" ref="DH36:DH67" si="111">IF(DG36=$H36,IF(DE36=$F36,IF(DF36=$G36,IF($F36-$G36&gt;=3,6,IF($G36-$F36&gt;=3,6,IF($F36+$G36&gt;=4,6,5))),3),3),0)</f>
        <v>0</v>
      </c>
      <c r="DI36" s="87">
        <v>1</v>
      </c>
      <c r="DJ36" s="87">
        <v>1</v>
      </c>
      <c r="DK36" s="70" t="str">
        <f t="shared" ref="DK36:DK67" si="112">IF(DI36&gt;DJ36,"1",IF(DI36&lt;DJ36,"2","X"))</f>
        <v>X</v>
      </c>
      <c r="DL36" s="74">
        <f t="shared" ref="DL36:DL67" si="113">IF(DK36=$H36,IF(DI36=$F36,IF(DJ36=$G36,IF($F36-$G36&gt;=3,6,IF($G36-$F36&gt;=3,6,IF($F36+$G36&gt;=4,6,5))),3),3),0)</f>
        <v>0</v>
      </c>
      <c r="DM36" s="87">
        <v>2</v>
      </c>
      <c r="DN36" s="87">
        <v>0</v>
      </c>
      <c r="DO36" s="70" t="str">
        <f t="shared" si="56"/>
        <v>1</v>
      </c>
      <c r="DP36" s="74">
        <f t="shared" si="57"/>
        <v>0</v>
      </c>
    </row>
    <row r="37" spans="1:120" ht="16" customHeight="1" thickBot="1">
      <c r="A37" s="130">
        <v>44732</v>
      </c>
      <c r="B37" s="131" t="s">
        <v>109</v>
      </c>
      <c r="C37" s="85" t="s">
        <v>70</v>
      </c>
      <c r="D37" s="85" t="s">
        <v>68</v>
      </c>
      <c r="E37" s="84">
        <f t="shared" si="58"/>
        <v>0</v>
      </c>
      <c r="F37" s="23"/>
      <c r="G37" s="5"/>
      <c r="H37" s="77" t="b">
        <f t="shared" si="59"/>
        <v>0</v>
      </c>
      <c r="I37" s="87">
        <v>0</v>
      </c>
      <c r="J37" s="87">
        <v>2</v>
      </c>
      <c r="K37" s="70" t="str">
        <f t="shared" si="60"/>
        <v>2</v>
      </c>
      <c r="L37" s="74">
        <f t="shared" si="61"/>
        <v>0</v>
      </c>
      <c r="M37" s="87">
        <v>0</v>
      </c>
      <c r="N37" s="87">
        <v>1</v>
      </c>
      <c r="O37" s="70" t="str">
        <f t="shared" si="62"/>
        <v>2</v>
      </c>
      <c r="P37" s="74">
        <f t="shared" si="63"/>
        <v>0</v>
      </c>
      <c r="Q37" s="87">
        <v>1</v>
      </c>
      <c r="R37" s="87">
        <v>1</v>
      </c>
      <c r="S37" s="70" t="str">
        <f t="shared" si="64"/>
        <v>X</v>
      </c>
      <c r="T37" s="74">
        <f t="shared" si="65"/>
        <v>0</v>
      </c>
      <c r="U37" s="87">
        <v>0</v>
      </c>
      <c r="V37" s="87">
        <v>1</v>
      </c>
      <c r="W37" s="70" t="str">
        <f t="shared" si="66"/>
        <v>2</v>
      </c>
      <c r="X37" s="74">
        <f t="shared" si="67"/>
        <v>0</v>
      </c>
      <c r="Y37" s="87">
        <v>0</v>
      </c>
      <c r="Z37" s="87">
        <v>3</v>
      </c>
      <c r="AA37" s="70" t="str">
        <f t="shared" si="68"/>
        <v>2</v>
      </c>
      <c r="AB37" s="74">
        <f t="shared" si="69"/>
        <v>0</v>
      </c>
      <c r="AC37" s="87">
        <v>1</v>
      </c>
      <c r="AD37" s="87">
        <v>2</v>
      </c>
      <c r="AE37" s="70" t="str">
        <f t="shared" si="70"/>
        <v>2</v>
      </c>
      <c r="AF37" s="74">
        <f t="shared" si="71"/>
        <v>0</v>
      </c>
      <c r="AG37" s="87">
        <v>1</v>
      </c>
      <c r="AH37" s="87">
        <v>1</v>
      </c>
      <c r="AI37" s="70" t="str">
        <f t="shared" si="72"/>
        <v>X</v>
      </c>
      <c r="AJ37" s="74">
        <f t="shared" si="73"/>
        <v>0</v>
      </c>
      <c r="AK37" s="87">
        <v>1</v>
      </c>
      <c r="AL37" s="87">
        <v>1</v>
      </c>
      <c r="AM37" s="70" t="str">
        <f t="shared" si="74"/>
        <v>X</v>
      </c>
      <c r="AN37" s="74">
        <f t="shared" si="75"/>
        <v>0</v>
      </c>
      <c r="AO37" s="87">
        <v>0</v>
      </c>
      <c r="AP37" s="87">
        <v>1</v>
      </c>
      <c r="AQ37" s="70" t="str">
        <f t="shared" si="76"/>
        <v>2</v>
      </c>
      <c r="AR37" s="74">
        <f t="shared" si="77"/>
        <v>0</v>
      </c>
      <c r="AS37" s="88">
        <v>0</v>
      </c>
      <c r="AT37" s="88">
        <v>2</v>
      </c>
      <c r="AU37" s="70" t="str">
        <f t="shared" si="78"/>
        <v>2</v>
      </c>
      <c r="AV37" s="74">
        <f t="shared" si="79"/>
        <v>0</v>
      </c>
      <c r="AW37" s="87">
        <v>0</v>
      </c>
      <c r="AX37" s="87">
        <v>1</v>
      </c>
      <c r="AY37" s="70" t="str">
        <f t="shared" si="80"/>
        <v>2</v>
      </c>
      <c r="AZ37" s="74">
        <f t="shared" si="81"/>
        <v>0</v>
      </c>
      <c r="BA37" s="91">
        <v>1</v>
      </c>
      <c r="BB37" s="91">
        <v>2</v>
      </c>
      <c r="BC37" s="70" t="str">
        <f t="shared" si="82"/>
        <v>2</v>
      </c>
      <c r="BD37" s="74">
        <f t="shared" si="83"/>
        <v>0</v>
      </c>
      <c r="BE37" s="87">
        <v>1</v>
      </c>
      <c r="BF37" s="87">
        <v>1</v>
      </c>
      <c r="BG37" s="70" t="str">
        <f t="shared" si="84"/>
        <v>X</v>
      </c>
      <c r="BH37" s="74">
        <f t="shared" si="85"/>
        <v>0</v>
      </c>
      <c r="BI37" s="87">
        <v>0</v>
      </c>
      <c r="BJ37" s="87">
        <v>2</v>
      </c>
      <c r="BK37" s="70" t="str">
        <f t="shared" si="86"/>
        <v>2</v>
      </c>
      <c r="BL37" s="74">
        <f t="shared" si="87"/>
        <v>0</v>
      </c>
      <c r="BM37" s="87">
        <v>1</v>
      </c>
      <c r="BN37" s="87">
        <v>1</v>
      </c>
      <c r="BO37" s="70" t="str">
        <f t="shared" si="88"/>
        <v>X</v>
      </c>
      <c r="BP37" s="74">
        <f t="shared" si="89"/>
        <v>0</v>
      </c>
      <c r="BQ37" s="87">
        <v>1</v>
      </c>
      <c r="BR37" s="87">
        <v>2</v>
      </c>
      <c r="BS37" s="70" t="str">
        <f t="shared" si="90"/>
        <v>2</v>
      </c>
      <c r="BT37" s="74">
        <f t="shared" si="91"/>
        <v>0</v>
      </c>
      <c r="BU37" s="87">
        <v>0</v>
      </c>
      <c r="BV37" s="87">
        <v>2</v>
      </c>
      <c r="BW37" s="70" t="str">
        <f t="shared" si="92"/>
        <v>2</v>
      </c>
      <c r="BX37" s="74">
        <f t="shared" si="93"/>
        <v>0</v>
      </c>
      <c r="BY37" s="87">
        <v>0</v>
      </c>
      <c r="BZ37" s="87">
        <v>2</v>
      </c>
      <c r="CA37" s="70" t="str">
        <f t="shared" si="94"/>
        <v>2</v>
      </c>
      <c r="CB37" s="74">
        <f t="shared" si="95"/>
        <v>0</v>
      </c>
      <c r="CC37" s="87">
        <v>0</v>
      </c>
      <c r="CD37" s="87">
        <v>2</v>
      </c>
      <c r="CE37" s="70" t="str">
        <f t="shared" si="96"/>
        <v>2</v>
      </c>
      <c r="CF37" s="74">
        <f t="shared" si="97"/>
        <v>0</v>
      </c>
      <c r="CG37" s="87">
        <v>1</v>
      </c>
      <c r="CH37" s="87">
        <v>2</v>
      </c>
      <c r="CI37" s="70" t="str">
        <f t="shared" si="98"/>
        <v>2</v>
      </c>
      <c r="CJ37" s="74">
        <f t="shared" si="99"/>
        <v>0</v>
      </c>
      <c r="CK37" s="88">
        <v>1</v>
      </c>
      <c r="CL37" s="88">
        <v>1</v>
      </c>
      <c r="CM37" s="70" t="str">
        <f t="shared" si="100"/>
        <v>X</v>
      </c>
      <c r="CN37" s="74">
        <f t="shared" si="101"/>
        <v>0</v>
      </c>
      <c r="CO37" s="87">
        <v>0</v>
      </c>
      <c r="CP37" s="87">
        <v>1</v>
      </c>
      <c r="CQ37" s="70" t="str">
        <f t="shared" si="102"/>
        <v>2</v>
      </c>
      <c r="CR37" s="74">
        <f t="shared" si="103"/>
        <v>0</v>
      </c>
      <c r="CS37" s="87">
        <v>0</v>
      </c>
      <c r="CT37" s="87">
        <v>2</v>
      </c>
      <c r="CU37" s="70" t="str">
        <f t="shared" si="104"/>
        <v>2</v>
      </c>
      <c r="CV37" s="74">
        <f t="shared" si="105"/>
        <v>0</v>
      </c>
      <c r="CW37" s="87">
        <v>0</v>
      </c>
      <c r="CX37" s="87">
        <v>1</v>
      </c>
      <c r="CY37" s="70" t="str">
        <f t="shared" si="106"/>
        <v>2</v>
      </c>
      <c r="CZ37" s="74">
        <f t="shared" si="107"/>
        <v>0</v>
      </c>
      <c r="DA37" s="87">
        <v>0</v>
      </c>
      <c r="DB37" s="87">
        <v>1</v>
      </c>
      <c r="DC37" s="70" t="str">
        <f t="shared" si="108"/>
        <v>2</v>
      </c>
      <c r="DD37" s="74">
        <f t="shared" si="109"/>
        <v>0</v>
      </c>
      <c r="DE37" s="87">
        <v>1</v>
      </c>
      <c r="DF37" s="87">
        <v>2</v>
      </c>
      <c r="DG37" s="70" t="str">
        <f t="shared" si="110"/>
        <v>2</v>
      </c>
      <c r="DH37" s="74">
        <f t="shared" si="111"/>
        <v>0</v>
      </c>
      <c r="DI37" s="87">
        <v>1</v>
      </c>
      <c r="DJ37" s="87">
        <v>1</v>
      </c>
      <c r="DK37" s="70" t="str">
        <f t="shared" si="112"/>
        <v>X</v>
      </c>
      <c r="DL37" s="74">
        <f t="shared" si="113"/>
        <v>0</v>
      </c>
      <c r="DM37" s="87">
        <v>0</v>
      </c>
      <c r="DN37" s="87">
        <v>1</v>
      </c>
      <c r="DO37" s="70" t="str">
        <f t="shared" si="56"/>
        <v>2</v>
      </c>
      <c r="DP37" s="74">
        <f t="shared" si="57"/>
        <v>0</v>
      </c>
    </row>
    <row r="38" spans="1:120" ht="16" customHeight="1" thickBot="1">
      <c r="A38" s="130">
        <v>44737</v>
      </c>
      <c r="B38" s="131" t="s">
        <v>112</v>
      </c>
      <c r="C38" s="85" t="s">
        <v>68</v>
      </c>
      <c r="D38" s="85" t="s">
        <v>69</v>
      </c>
      <c r="E38" s="84">
        <f t="shared" si="58"/>
        <v>0</v>
      </c>
      <c r="F38" s="23"/>
      <c r="G38" s="5"/>
      <c r="H38" s="77" t="b">
        <f t="shared" si="59"/>
        <v>0</v>
      </c>
      <c r="I38" s="87"/>
      <c r="J38" s="87"/>
      <c r="K38" s="70" t="str">
        <f t="shared" si="60"/>
        <v>X</v>
      </c>
      <c r="L38" s="74">
        <f t="shared" si="61"/>
        <v>0</v>
      </c>
      <c r="M38" s="87"/>
      <c r="N38" s="87"/>
      <c r="O38" s="70" t="str">
        <f t="shared" si="62"/>
        <v>X</v>
      </c>
      <c r="P38" s="74">
        <f t="shared" si="63"/>
        <v>0</v>
      </c>
      <c r="Q38" s="87"/>
      <c r="R38" s="87"/>
      <c r="S38" s="70" t="str">
        <f t="shared" si="64"/>
        <v>X</v>
      </c>
      <c r="T38" s="74">
        <f t="shared" si="65"/>
        <v>0</v>
      </c>
      <c r="U38" s="87"/>
      <c r="V38" s="87"/>
      <c r="W38" s="70" t="str">
        <f t="shared" si="66"/>
        <v>X</v>
      </c>
      <c r="X38" s="74">
        <f t="shared" si="67"/>
        <v>0</v>
      </c>
      <c r="Y38" s="87"/>
      <c r="Z38" s="87"/>
      <c r="AA38" s="70" t="str">
        <f t="shared" si="68"/>
        <v>X</v>
      </c>
      <c r="AB38" s="74">
        <f t="shared" si="69"/>
        <v>0</v>
      </c>
      <c r="AC38" s="87"/>
      <c r="AD38" s="87"/>
      <c r="AE38" s="70" t="str">
        <f t="shared" si="70"/>
        <v>X</v>
      </c>
      <c r="AF38" s="74">
        <f t="shared" si="71"/>
        <v>0</v>
      </c>
      <c r="AG38" s="87"/>
      <c r="AH38" s="87"/>
      <c r="AI38" s="70" t="str">
        <f t="shared" si="72"/>
        <v>X</v>
      </c>
      <c r="AJ38" s="74">
        <f t="shared" si="73"/>
        <v>0</v>
      </c>
      <c r="AK38" s="87"/>
      <c r="AL38" s="87"/>
      <c r="AM38" s="70" t="str">
        <f t="shared" si="74"/>
        <v>X</v>
      </c>
      <c r="AN38" s="74">
        <f t="shared" si="75"/>
        <v>0</v>
      </c>
      <c r="AO38" s="87"/>
      <c r="AP38" s="87"/>
      <c r="AQ38" s="70" t="str">
        <f t="shared" si="76"/>
        <v>X</v>
      </c>
      <c r="AR38" s="74">
        <f t="shared" si="77"/>
        <v>0</v>
      </c>
      <c r="AS38" s="88"/>
      <c r="AT38" s="88"/>
      <c r="AU38" s="70" t="str">
        <f t="shared" si="78"/>
        <v>X</v>
      </c>
      <c r="AV38" s="74">
        <f t="shared" si="79"/>
        <v>0</v>
      </c>
      <c r="AW38" s="87"/>
      <c r="AX38" s="87"/>
      <c r="AY38" s="70" t="str">
        <f t="shared" si="80"/>
        <v>X</v>
      </c>
      <c r="AZ38" s="74">
        <f t="shared" si="81"/>
        <v>0</v>
      </c>
      <c r="BA38" s="91"/>
      <c r="BB38" s="91"/>
      <c r="BC38" s="70" t="str">
        <f t="shared" si="82"/>
        <v>X</v>
      </c>
      <c r="BD38" s="74">
        <f t="shared" si="83"/>
        <v>0</v>
      </c>
      <c r="BE38" s="87"/>
      <c r="BF38" s="87"/>
      <c r="BG38" s="70" t="str">
        <f t="shared" si="84"/>
        <v>X</v>
      </c>
      <c r="BH38" s="74">
        <f t="shared" si="85"/>
        <v>0</v>
      </c>
      <c r="BI38" s="87"/>
      <c r="BJ38" s="87"/>
      <c r="BK38" s="70" t="str">
        <f t="shared" si="86"/>
        <v>X</v>
      </c>
      <c r="BL38" s="74">
        <f t="shared" si="87"/>
        <v>0</v>
      </c>
      <c r="BM38" s="87"/>
      <c r="BN38" s="87"/>
      <c r="BO38" s="70" t="str">
        <f t="shared" si="88"/>
        <v>X</v>
      </c>
      <c r="BP38" s="74">
        <f t="shared" si="89"/>
        <v>0</v>
      </c>
      <c r="BQ38" s="87"/>
      <c r="BR38" s="87"/>
      <c r="BS38" s="70" t="str">
        <f t="shared" si="90"/>
        <v>X</v>
      </c>
      <c r="BT38" s="74">
        <f t="shared" si="91"/>
        <v>0</v>
      </c>
      <c r="BU38" s="87"/>
      <c r="BV38" s="87"/>
      <c r="BW38" s="70" t="str">
        <f t="shared" si="92"/>
        <v>X</v>
      </c>
      <c r="BX38" s="74">
        <f t="shared" si="93"/>
        <v>0</v>
      </c>
      <c r="BY38" s="87"/>
      <c r="BZ38" s="87"/>
      <c r="CA38" s="70" t="str">
        <f t="shared" si="94"/>
        <v>X</v>
      </c>
      <c r="CB38" s="74">
        <f t="shared" si="95"/>
        <v>0</v>
      </c>
      <c r="CC38" s="87"/>
      <c r="CD38" s="87"/>
      <c r="CE38" s="70" t="str">
        <f t="shared" si="96"/>
        <v>X</v>
      </c>
      <c r="CF38" s="74">
        <f t="shared" si="97"/>
        <v>0</v>
      </c>
      <c r="CG38" s="87"/>
      <c r="CH38" s="87"/>
      <c r="CI38" s="70" t="str">
        <f t="shared" si="98"/>
        <v>X</v>
      </c>
      <c r="CJ38" s="74">
        <f t="shared" si="99"/>
        <v>0</v>
      </c>
      <c r="CK38" s="88"/>
      <c r="CL38" s="88"/>
      <c r="CM38" s="70" t="str">
        <f t="shared" si="100"/>
        <v>X</v>
      </c>
      <c r="CN38" s="74">
        <f t="shared" si="101"/>
        <v>0</v>
      </c>
      <c r="CO38" s="87"/>
      <c r="CP38" s="87"/>
      <c r="CQ38" s="70" t="str">
        <f t="shared" si="102"/>
        <v>X</v>
      </c>
      <c r="CR38" s="74">
        <f t="shared" si="103"/>
        <v>0</v>
      </c>
      <c r="CS38" s="87"/>
      <c r="CT38" s="87"/>
      <c r="CU38" s="70" t="str">
        <f t="shared" si="104"/>
        <v>X</v>
      </c>
      <c r="CV38" s="74">
        <f t="shared" si="105"/>
        <v>0</v>
      </c>
      <c r="CW38" s="87"/>
      <c r="CX38" s="87"/>
      <c r="CY38" s="70" t="str">
        <f t="shared" si="106"/>
        <v>X</v>
      </c>
      <c r="CZ38" s="74">
        <f t="shared" si="107"/>
        <v>0</v>
      </c>
      <c r="DA38" s="87"/>
      <c r="DB38" s="87"/>
      <c r="DC38" s="70" t="str">
        <f t="shared" si="108"/>
        <v>X</v>
      </c>
      <c r="DD38" s="74">
        <f t="shared" si="109"/>
        <v>0</v>
      </c>
      <c r="DE38" s="87"/>
      <c r="DF38" s="87"/>
      <c r="DG38" s="70" t="str">
        <f t="shared" si="110"/>
        <v>X</v>
      </c>
      <c r="DH38" s="74">
        <f t="shared" si="111"/>
        <v>0</v>
      </c>
      <c r="DI38" s="87"/>
      <c r="DJ38" s="87"/>
      <c r="DK38" s="70" t="str">
        <f t="shared" si="112"/>
        <v>X</v>
      </c>
      <c r="DL38" s="74">
        <f t="shared" si="113"/>
        <v>0</v>
      </c>
      <c r="DM38" s="87"/>
      <c r="DN38" s="87"/>
      <c r="DO38" s="70" t="str">
        <f t="shared" si="56"/>
        <v>X</v>
      </c>
      <c r="DP38" s="74">
        <f t="shared" si="57"/>
        <v>0</v>
      </c>
    </row>
    <row r="39" spans="1:120" ht="16" customHeight="1" thickBot="1">
      <c r="A39" s="130">
        <v>44737</v>
      </c>
      <c r="B39" s="131" t="s">
        <v>112</v>
      </c>
      <c r="C39" s="85" t="s">
        <v>70</v>
      </c>
      <c r="D39" s="85" t="s">
        <v>67</v>
      </c>
      <c r="E39" s="84">
        <f t="shared" si="58"/>
        <v>0</v>
      </c>
      <c r="F39" s="23"/>
      <c r="G39" s="5"/>
      <c r="H39" s="77" t="b">
        <f t="shared" si="59"/>
        <v>0</v>
      </c>
      <c r="I39" s="87"/>
      <c r="J39" s="87"/>
      <c r="K39" s="70" t="str">
        <f t="shared" si="60"/>
        <v>X</v>
      </c>
      <c r="L39" s="74">
        <f t="shared" si="61"/>
        <v>0</v>
      </c>
      <c r="M39" s="87"/>
      <c r="N39" s="87"/>
      <c r="O39" s="70" t="str">
        <f t="shared" si="62"/>
        <v>X</v>
      </c>
      <c r="P39" s="74">
        <f t="shared" si="63"/>
        <v>0</v>
      </c>
      <c r="Q39" s="87"/>
      <c r="R39" s="87"/>
      <c r="S39" s="70" t="str">
        <f t="shared" si="64"/>
        <v>X</v>
      </c>
      <c r="T39" s="74">
        <f t="shared" si="65"/>
        <v>0</v>
      </c>
      <c r="U39" s="87"/>
      <c r="V39" s="87"/>
      <c r="W39" s="70" t="str">
        <f t="shared" si="66"/>
        <v>X</v>
      </c>
      <c r="X39" s="74">
        <f t="shared" si="67"/>
        <v>0</v>
      </c>
      <c r="Y39" s="87"/>
      <c r="Z39" s="87"/>
      <c r="AA39" s="70" t="str">
        <f t="shared" si="68"/>
        <v>X</v>
      </c>
      <c r="AB39" s="74">
        <f t="shared" si="69"/>
        <v>0</v>
      </c>
      <c r="AC39" s="87"/>
      <c r="AD39" s="87"/>
      <c r="AE39" s="70" t="str">
        <f t="shared" si="70"/>
        <v>X</v>
      </c>
      <c r="AF39" s="74">
        <f t="shared" si="71"/>
        <v>0</v>
      </c>
      <c r="AG39" s="87"/>
      <c r="AH39" s="87"/>
      <c r="AI39" s="70" t="str">
        <f t="shared" si="72"/>
        <v>X</v>
      </c>
      <c r="AJ39" s="74">
        <f t="shared" si="73"/>
        <v>0</v>
      </c>
      <c r="AK39" s="87"/>
      <c r="AL39" s="87"/>
      <c r="AM39" s="70" t="str">
        <f t="shared" si="74"/>
        <v>X</v>
      </c>
      <c r="AN39" s="74">
        <f t="shared" si="75"/>
        <v>0</v>
      </c>
      <c r="AO39" s="87"/>
      <c r="AP39" s="87"/>
      <c r="AQ39" s="70" t="str">
        <f t="shared" si="76"/>
        <v>X</v>
      </c>
      <c r="AR39" s="74">
        <f t="shared" si="77"/>
        <v>0</v>
      </c>
      <c r="AS39" s="88"/>
      <c r="AT39" s="88"/>
      <c r="AU39" s="70" t="str">
        <f t="shared" si="78"/>
        <v>X</v>
      </c>
      <c r="AV39" s="74">
        <f t="shared" si="79"/>
        <v>0</v>
      </c>
      <c r="AW39" s="87"/>
      <c r="AX39" s="87"/>
      <c r="AY39" s="70" t="str">
        <f t="shared" si="80"/>
        <v>X</v>
      </c>
      <c r="AZ39" s="74">
        <f t="shared" si="81"/>
        <v>0</v>
      </c>
      <c r="BA39" s="91"/>
      <c r="BB39" s="91"/>
      <c r="BC39" s="70" t="str">
        <f t="shared" si="82"/>
        <v>X</v>
      </c>
      <c r="BD39" s="74">
        <f t="shared" si="83"/>
        <v>0</v>
      </c>
      <c r="BE39" s="87"/>
      <c r="BF39" s="87"/>
      <c r="BG39" s="70" t="str">
        <f t="shared" si="84"/>
        <v>X</v>
      </c>
      <c r="BH39" s="74">
        <f t="shared" si="85"/>
        <v>0</v>
      </c>
      <c r="BI39" s="87"/>
      <c r="BJ39" s="87"/>
      <c r="BK39" s="70" t="str">
        <f t="shared" si="86"/>
        <v>X</v>
      </c>
      <c r="BL39" s="74">
        <f t="shared" si="87"/>
        <v>0</v>
      </c>
      <c r="BM39" s="87"/>
      <c r="BN39" s="87"/>
      <c r="BO39" s="70" t="str">
        <f t="shared" si="88"/>
        <v>X</v>
      </c>
      <c r="BP39" s="74">
        <f t="shared" si="89"/>
        <v>0</v>
      </c>
      <c r="BQ39" s="87"/>
      <c r="BR39" s="87"/>
      <c r="BS39" s="70" t="str">
        <f t="shared" si="90"/>
        <v>X</v>
      </c>
      <c r="BT39" s="74">
        <f t="shared" si="91"/>
        <v>0</v>
      </c>
      <c r="BU39" s="87"/>
      <c r="BV39" s="87"/>
      <c r="BW39" s="70" t="str">
        <f t="shared" si="92"/>
        <v>X</v>
      </c>
      <c r="BX39" s="74">
        <f t="shared" si="93"/>
        <v>0</v>
      </c>
      <c r="BY39" s="87"/>
      <c r="BZ39" s="87"/>
      <c r="CA39" s="70" t="str">
        <f t="shared" si="94"/>
        <v>X</v>
      </c>
      <c r="CB39" s="74">
        <f t="shared" si="95"/>
        <v>0</v>
      </c>
      <c r="CC39" s="87"/>
      <c r="CD39" s="87"/>
      <c r="CE39" s="70" t="str">
        <f t="shared" si="96"/>
        <v>X</v>
      </c>
      <c r="CF39" s="74">
        <f t="shared" si="97"/>
        <v>0</v>
      </c>
      <c r="CG39" s="87"/>
      <c r="CH39" s="87"/>
      <c r="CI39" s="70" t="str">
        <f t="shared" si="98"/>
        <v>X</v>
      </c>
      <c r="CJ39" s="74">
        <f t="shared" si="99"/>
        <v>0</v>
      </c>
      <c r="CK39" s="88"/>
      <c r="CL39" s="88"/>
      <c r="CM39" s="70" t="str">
        <f t="shared" si="100"/>
        <v>X</v>
      </c>
      <c r="CN39" s="74">
        <f t="shared" si="101"/>
        <v>0</v>
      </c>
      <c r="CO39" s="87"/>
      <c r="CP39" s="87"/>
      <c r="CQ39" s="70" t="str">
        <f t="shared" si="102"/>
        <v>X</v>
      </c>
      <c r="CR39" s="74">
        <f t="shared" si="103"/>
        <v>0</v>
      </c>
      <c r="CS39" s="87"/>
      <c r="CT39" s="87"/>
      <c r="CU39" s="70" t="str">
        <f t="shared" si="104"/>
        <v>X</v>
      </c>
      <c r="CV39" s="74">
        <f t="shared" si="105"/>
        <v>0</v>
      </c>
      <c r="CW39" s="87"/>
      <c r="CX39" s="87"/>
      <c r="CY39" s="70" t="str">
        <f t="shared" si="106"/>
        <v>X</v>
      </c>
      <c r="CZ39" s="74">
        <f t="shared" si="107"/>
        <v>0</v>
      </c>
      <c r="DA39" s="87"/>
      <c r="DB39" s="87"/>
      <c r="DC39" s="70" t="str">
        <f t="shared" si="108"/>
        <v>X</v>
      </c>
      <c r="DD39" s="74">
        <f t="shared" si="109"/>
        <v>0</v>
      </c>
      <c r="DE39" s="87"/>
      <c r="DF39" s="87"/>
      <c r="DG39" s="70" t="str">
        <f t="shared" si="110"/>
        <v>X</v>
      </c>
      <c r="DH39" s="74">
        <f t="shared" si="111"/>
        <v>0</v>
      </c>
      <c r="DI39" s="87"/>
      <c r="DJ39" s="87"/>
      <c r="DK39" s="70" t="str">
        <f t="shared" si="112"/>
        <v>X</v>
      </c>
      <c r="DL39" s="74">
        <f t="shared" si="113"/>
        <v>0</v>
      </c>
      <c r="DM39" s="87"/>
      <c r="DN39" s="87"/>
      <c r="DO39" s="70" t="str">
        <f t="shared" si="56"/>
        <v>X</v>
      </c>
      <c r="DP39" s="74">
        <f t="shared" si="57"/>
        <v>0</v>
      </c>
    </row>
    <row r="40" spans="1:120" ht="16" customHeight="1" thickBot="1">
      <c r="A40" s="130">
        <v>44726</v>
      </c>
      <c r="B40" s="131" t="s">
        <v>103</v>
      </c>
      <c r="C40" s="85" t="s">
        <v>71</v>
      </c>
      <c r="D40" s="85" t="s">
        <v>72</v>
      </c>
      <c r="E40" s="84">
        <f t="shared" si="58"/>
        <v>0</v>
      </c>
      <c r="F40" s="23"/>
      <c r="G40" s="5"/>
      <c r="H40" s="77" t="b">
        <f t="shared" si="59"/>
        <v>0</v>
      </c>
      <c r="I40" s="87">
        <v>2</v>
      </c>
      <c r="J40" s="87">
        <v>1</v>
      </c>
      <c r="K40" s="70" t="str">
        <f t="shared" si="60"/>
        <v>1</v>
      </c>
      <c r="L40" s="74">
        <f t="shared" si="61"/>
        <v>0</v>
      </c>
      <c r="M40" s="87">
        <v>2</v>
      </c>
      <c r="N40" s="87">
        <v>1</v>
      </c>
      <c r="O40" s="70" t="str">
        <f t="shared" si="62"/>
        <v>1</v>
      </c>
      <c r="P40" s="74">
        <f t="shared" si="63"/>
        <v>0</v>
      </c>
      <c r="Q40" s="87">
        <v>2</v>
      </c>
      <c r="R40" s="87">
        <v>0</v>
      </c>
      <c r="S40" s="70" t="str">
        <f t="shared" si="64"/>
        <v>1</v>
      </c>
      <c r="T40" s="74">
        <f t="shared" si="65"/>
        <v>0</v>
      </c>
      <c r="U40" s="87">
        <v>2</v>
      </c>
      <c r="V40" s="87">
        <v>1</v>
      </c>
      <c r="W40" s="70" t="str">
        <f t="shared" si="66"/>
        <v>1</v>
      </c>
      <c r="X40" s="74">
        <f t="shared" si="67"/>
        <v>0</v>
      </c>
      <c r="Y40" s="87">
        <v>2</v>
      </c>
      <c r="Z40" s="87">
        <v>0</v>
      </c>
      <c r="AA40" s="70" t="str">
        <f t="shared" si="68"/>
        <v>1</v>
      </c>
      <c r="AB40" s="74">
        <f t="shared" si="69"/>
        <v>0</v>
      </c>
      <c r="AC40" s="87">
        <v>2</v>
      </c>
      <c r="AD40" s="87">
        <v>1</v>
      </c>
      <c r="AE40" s="70" t="str">
        <f t="shared" si="70"/>
        <v>1</v>
      </c>
      <c r="AF40" s="74">
        <f t="shared" si="71"/>
        <v>0</v>
      </c>
      <c r="AG40" s="87">
        <v>3</v>
      </c>
      <c r="AH40" s="87">
        <v>1</v>
      </c>
      <c r="AI40" s="70" t="str">
        <f t="shared" si="72"/>
        <v>1</v>
      </c>
      <c r="AJ40" s="74">
        <f t="shared" si="73"/>
        <v>0</v>
      </c>
      <c r="AK40" s="87">
        <v>1</v>
      </c>
      <c r="AL40" s="87">
        <v>2</v>
      </c>
      <c r="AM40" s="70" t="str">
        <f t="shared" si="74"/>
        <v>2</v>
      </c>
      <c r="AN40" s="74">
        <f t="shared" si="75"/>
        <v>0</v>
      </c>
      <c r="AO40" s="87">
        <v>2</v>
      </c>
      <c r="AP40" s="87">
        <v>1</v>
      </c>
      <c r="AQ40" s="70" t="str">
        <f t="shared" si="76"/>
        <v>1</v>
      </c>
      <c r="AR40" s="74">
        <f t="shared" si="77"/>
        <v>0</v>
      </c>
      <c r="AS40" s="88">
        <v>2</v>
      </c>
      <c r="AT40" s="88">
        <v>0</v>
      </c>
      <c r="AU40" s="70" t="str">
        <f t="shared" si="78"/>
        <v>1</v>
      </c>
      <c r="AV40" s="74">
        <f t="shared" si="79"/>
        <v>0</v>
      </c>
      <c r="AW40" s="87">
        <v>2</v>
      </c>
      <c r="AX40" s="87">
        <v>0</v>
      </c>
      <c r="AY40" s="70" t="str">
        <f t="shared" si="80"/>
        <v>1</v>
      </c>
      <c r="AZ40" s="74">
        <f t="shared" si="81"/>
        <v>0</v>
      </c>
      <c r="BA40" s="91">
        <v>3</v>
      </c>
      <c r="BB40" s="91">
        <v>1</v>
      </c>
      <c r="BC40" s="70" t="str">
        <f t="shared" si="82"/>
        <v>1</v>
      </c>
      <c r="BD40" s="74">
        <f t="shared" si="83"/>
        <v>0</v>
      </c>
      <c r="BE40" s="87">
        <v>2</v>
      </c>
      <c r="BF40" s="87">
        <v>1</v>
      </c>
      <c r="BG40" s="70" t="str">
        <f t="shared" si="84"/>
        <v>1</v>
      </c>
      <c r="BH40" s="74">
        <f t="shared" si="85"/>
        <v>0</v>
      </c>
      <c r="BI40" s="87">
        <v>2</v>
      </c>
      <c r="BJ40" s="87">
        <v>0</v>
      </c>
      <c r="BK40" s="70" t="str">
        <f t="shared" si="86"/>
        <v>1</v>
      </c>
      <c r="BL40" s="74">
        <f t="shared" si="87"/>
        <v>0</v>
      </c>
      <c r="BM40" s="87">
        <v>2</v>
      </c>
      <c r="BN40" s="87">
        <v>0</v>
      </c>
      <c r="BO40" s="70" t="str">
        <f t="shared" si="88"/>
        <v>1</v>
      </c>
      <c r="BP40" s="74">
        <f t="shared" si="89"/>
        <v>0</v>
      </c>
      <c r="BQ40" s="87">
        <v>3</v>
      </c>
      <c r="BR40" s="87">
        <v>1</v>
      </c>
      <c r="BS40" s="70" t="str">
        <f t="shared" si="90"/>
        <v>1</v>
      </c>
      <c r="BT40" s="74">
        <f t="shared" si="91"/>
        <v>0</v>
      </c>
      <c r="BU40" s="87">
        <v>1</v>
      </c>
      <c r="BV40" s="87">
        <v>0</v>
      </c>
      <c r="BW40" s="70" t="str">
        <f t="shared" si="92"/>
        <v>1</v>
      </c>
      <c r="BX40" s="74">
        <f t="shared" si="93"/>
        <v>0</v>
      </c>
      <c r="BY40" s="87">
        <v>3</v>
      </c>
      <c r="BZ40" s="87">
        <v>0</v>
      </c>
      <c r="CA40" s="70" t="str">
        <f t="shared" si="94"/>
        <v>1</v>
      </c>
      <c r="CB40" s="74">
        <f t="shared" si="95"/>
        <v>0</v>
      </c>
      <c r="CC40" s="87">
        <v>3</v>
      </c>
      <c r="CD40" s="87">
        <v>1</v>
      </c>
      <c r="CE40" s="70" t="str">
        <f t="shared" si="96"/>
        <v>1</v>
      </c>
      <c r="CF40" s="74">
        <f t="shared" si="97"/>
        <v>0</v>
      </c>
      <c r="CG40" s="87">
        <v>3</v>
      </c>
      <c r="CH40" s="87">
        <v>0</v>
      </c>
      <c r="CI40" s="70" t="str">
        <f t="shared" si="98"/>
        <v>1</v>
      </c>
      <c r="CJ40" s="74">
        <f t="shared" si="99"/>
        <v>0</v>
      </c>
      <c r="CK40" s="88">
        <v>2</v>
      </c>
      <c r="CL40" s="88">
        <v>0</v>
      </c>
      <c r="CM40" s="70" t="str">
        <f t="shared" si="100"/>
        <v>1</v>
      </c>
      <c r="CN40" s="74">
        <f t="shared" si="101"/>
        <v>0</v>
      </c>
      <c r="CO40" s="87">
        <v>2</v>
      </c>
      <c r="CP40" s="87">
        <v>1</v>
      </c>
      <c r="CQ40" s="70" t="str">
        <f t="shared" si="102"/>
        <v>1</v>
      </c>
      <c r="CR40" s="74">
        <f t="shared" si="103"/>
        <v>0</v>
      </c>
      <c r="CS40" s="87">
        <v>2</v>
      </c>
      <c r="CT40" s="87">
        <v>1</v>
      </c>
      <c r="CU40" s="70" t="str">
        <f t="shared" si="104"/>
        <v>1</v>
      </c>
      <c r="CV40" s="74">
        <f t="shared" si="105"/>
        <v>0</v>
      </c>
      <c r="CW40" s="87">
        <v>2</v>
      </c>
      <c r="CX40" s="87">
        <v>1</v>
      </c>
      <c r="CY40" s="70" t="str">
        <f t="shared" si="106"/>
        <v>1</v>
      </c>
      <c r="CZ40" s="74">
        <f t="shared" si="107"/>
        <v>0</v>
      </c>
      <c r="DA40" s="87">
        <v>2</v>
      </c>
      <c r="DB40" s="87">
        <v>1</v>
      </c>
      <c r="DC40" s="70" t="str">
        <f t="shared" si="108"/>
        <v>1</v>
      </c>
      <c r="DD40" s="74">
        <f t="shared" si="109"/>
        <v>0</v>
      </c>
      <c r="DE40" s="87">
        <v>3</v>
      </c>
      <c r="DF40" s="87">
        <v>0</v>
      </c>
      <c r="DG40" s="70" t="str">
        <f t="shared" si="110"/>
        <v>1</v>
      </c>
      <c r="DH40" s="74">
        <f t="shared" si="111"/>
        <v>0</v>
      </c>
      <c r="DI40" s="87">
        <v>2</v>
      </c>
      <c r="DJ40" s="87">
        <v>1</v>
      </c>
      <c r="DK40" s="70" t="str">
        <f t="shared" si="112"/>
        <v>1</v>
      </c>
      <c r="DL40" s="74">
        <f t="shared" si="113"/>
        <v>0</v>
      </c>
      <c r="DM40" s="87">
        <v>1</v>
      </c>
      <c r="DN40" s="87">
        <v>0</v>
      </c>
      <c r="DO40" s="70" t="str">
        <f t="shared" si="56"/>
        <v>1</v>
      </c>
      <c r="DP40" s="74">
        <f t="shared" si="57"/>
        <v>0</v>
      </c>
    </row>
    <row r="41" spans="1:120" ht="16" customHeight="1" thickBot="1">
      <c r="A41" s="130">
        <v>44727</v>
      </c>
      <c r="B41" s="131" t="s">
        <v>106</v>
      </c>
      <c r="C41" s="85" t="s">
        <v>73</v>
      </c>
      <c r="D41" s="85" t="s">
        <v>74</v>
      </c>
      <c r="E41" s="84">
        <f t="shared" si="58"/>
        <v>0</v>
      </c>
      <c r="F41" s="23"/>
      <c r="G41" s="5"/>
      <c r="H41" s="77" t="b">
        <f t="shared" si="59"/>
        <v>0</v>
      </c>
      <c r="I41" s="87">
        <v>2</v>
      </c>
      <c r="J41" s="87">
        <v>0</v>
      </c>
      <c r="K41" s="70" t="str">
        <f t="shared" si="60"/>
        <v>1</v>
      </c>
      <c r="L41" s="74">
        <f t="shared" si="61"/>
        <v>0</v>
      </c>
      <c r="M41" s="87">
        <v>1</v>
      </c>
      <c r="N41" s="87">
        <v>0</v>
      </c>
      <c r="O41" s="70" t="str">
        <f t="shared" si="62"/>
        <v>1</v>
      </c>
      <c r="P41" s="74">
        <f t="shared" si="63"/>
        <v>0</v>
      </c>
      <c r="Q41" s="87">
        <v>2</v>
      </c>
      <c r="R41" s="87">
        <v>0</v>
      </c>
      <c r="S41" s="70" t="str">
        <f t="shared" si="64"/>
        <v>1</v>
      </c>
      <c r="T41" s="74">
        <f t="shared" si="65"/>
        <v>0</v>
      </c>
      <c r="U41" s="87">
        <v>2</v>
      </c>
      <c r="V41" s="87">
        <v>0</v>
      </c>
      <c r="W41" s="70" t="str">
        <f t="shared" si="66"/>
        <v>1</v>
      </c>
      <c r="X41" s="74">
        <f t="shared" si="67"/>
        <v>0</v>
      </c>
      <c r="Y41" s="87">
        <v>1</v>
      </c>
      <c r="Z41" s="87">
        <v>1</v>
      </c>
      <c r="AA41" s="70" t="str">
        <f t="shared" si="68"/>
        <v>X</v>
      </c>
      <c r="AB41" s="74">
        <f t="shared" si="69"/>
        <v>0</v>
      </c>
      <c r="AC41" s="87">
        <v>2</v>
      </c>
      <c r="AD41" s="87">
        <v>0</v>
      </c>
      <c r="AE41" s="70" t="str">
        <f t="shared" si="70"/>
        <v>1</v>
      </c>
      <c r="AF41" s="74">
        <f t="shared" si="71"/>
        <v>0</v>
      </c>
      <c r="AG41" s="87">
        <v>2</v>
      </c>
      <c r="AH41" s="87">
        <v>0</v>
      </c>
      <c r="AI41" s="70" t="str">
        <f t="shared" si="72"/>
        <v>1</v>
      </c>
      <c r="AJ41" s="74">
        <f t="shared" si="73"/>
        <v>0</v>
      </c>
      <c r="AK41" s="87">
        <v>1</v>
      </c>
      <c r="AL41" s="87">
        <v>0</v>
      </c>
      <c r="AM41" s="70" t="str">
        <f t="shared" si="74"/>
        <v>1</v>
      </c>
      <c r="AN41" s="74">
        <f t="shared" si="75"/>
        <v>0</v>
      </c>
      <c r="AO41" s="87">
        <v>1</v>
      </c>
      <c r="AP41" s="87">
        <v>0</v>
      </c>
      <c r="AQ41" s="70" t="str">
        <f t="shared" si="76"/>
        <v>1</v>
      </c>
      <c r="AR41" s="74">
        <f t="shared" si="77"/>
        <v>0</v>
      </c>
      <c r="AS41" s="88">
        <v>1</v>
      </c>
      <c r="AT41" s="88">
        <v>0</v>
      </c>
      <c r="AU41" s="70" t="str">
        <f t="shared" si="78"/>
        <v>1</v>
      </c>
      <c r="AV41" s="74">
        <f t="shared" si="79"/>
        <v>0</v>
      </c>
      <c r="AW41" s="87">
        <v>1</v>
      </c>
      <c r="AX41" s="87">
        <v>0</v>
      </c>
      <c r="AY41" s="70" t="str">
        <f t="shared" si="80"/>
        <v>1</v>
      </c>
      <c r="AZ41" s="74">
        <f t="shared" si="81"/>
        <v>0</v>
      </c>
      <c r="BA41" s="91">
        <v>1</v>
      </c>
      <c r="BB41" s="91">
        <v>0</v>
      </c>
      <c r="BC41" s="70" t="str">
        <f t="shared" si="82"/>
        <v>1</v>
      </c>
      <c r="BD41" s="74">
        <f t="shared" si="83"/>
        <v>0</v>
      </c>
      <c r="BE41" s="87">
        <v>1</v>
      </c>
      <c r="BF41" s="87">
        <v>1</v>
      </c>
      <c r="BG41" s="70" t="str">
        <f t="shared" si="84"/>
        <v>X</v>
      </c>
      <c r="BH41" s="74">
        <f t="shared" si="85"/>
        <v>0</v>
      </c>
      <c r="BI41" s="87">
        <v>2</v>
      </c>
      <c r="BJ41" s="87">
        <v>0</v>
      </c>
      <c r="BK41" s="70" t="str">
        <f t="shared" si="86"/>
        <v>1</v>
      </c>
      <c r="BL41" s="74">
        <f t="shared" si="87"/>
        <v>0</v>
      </c>
      <c r="BM41" s="87">
        <v>1</v>
      </c>
      <c r="BN41" s="87">
        <v>0</v>
      </c>
      <c r="BO41" s="70" t="str">
        <f t="shared" si="88"/>
        <v>1</v>
      </c>
      <c r="BP41" s="74">
        <f t="shared" si="89"/>
        <v>0</v>
      </c>
      <c r="BQ41" s="87">
        <v>1</v>
      </c>
      <c r="BR41" s="87">
        <v>1</v>
      </c>
      <c r="BS41" s="70" t="str">
        <f t="shared" si="90"/>
        <v>X</v>
      </c>
      <c r="BT41" s="74">
        <f t="shared" si="91"/>
        <v>0</v>
      </c>
      <c r="BU41" s="87">
        <v>1</v>
      </c>
      <c r="BV41" s="87">
        <v>0</v>
      </c>
      <c r="BW41" s="70" t="str">
        <f t="shared" si="92"/>
        <v>1</v>
      </c>
      <c r="BX41" s="74">
        <f t="shared" si="93"/>
        <v>0</v>
      </c>
      <c r="BY41" s="87">
        <v>2</v>
      </c>
      <c r="BZ41" s="87">
        <v>0</v>
      </c>
      <c r="CA41" s="70" t="str">
        <f t="shared" si="94"/>
        <v>1</v>
      </c>
      <c r="CB41" s="74">
        <f t="shared" si="95"/>
        <v>0</v>
      </c>
      <c r="CC41" s="87">
        <v>1</v>
      </c>
      <c r="CD41" s="87">
        <v>0</v>
      </c>
      <c r="CE41" s="70" t="str">
        <f t="shared" si="96"/>
        <v>1</v>
      </c>
      <c r="CF41" s="74">
        <f t="shared" si="97"/>
        <v>0</v>
      </c>
      <c r="CG41" s="87">
        <v>2</v>
      </c>
      <c r="CH41" s="87">
        <v>0</v>
      </c>
      <c r="CI41" s="70" t="str">
        <f t="shared" si="98"/>
        <v>1</v>
      </c>
      <c r="CJ41" s="74">
        <f t="shared" si="99"/>
        <v>0</v>
      </c>
      <c r="CK41" s="88">
        <v>1</v>
      </c>
      <c r="CL41" s="88">
        <v>1</v>
      </c>
      <c r="CM41" s="70" t="str">
        <f t="shared" si="100"/>
        <v>X</v>
      </c>
      <c r="CN41" s="74">
        <f t="shared" si="101"/>
        <v>0</v>
      </c>
      <c r="CO41" s="87">
        <v>2</v>
      </c>
      <c r="CP41" s="87">
        <v>0</v>
      </c>
      <c r="CQ41" s="70" t="str">
        <f t="shared" si="102"/>
        <v>1</v>
      </c>
      <c r="CR41" s="74">
        <f t="shared" si="103"/>
        <v>0</v>
      </c>
      <c r="CS41" s="87">
        <v>1</v>
      </c>
      <c r="CT41" s="87">
        <v>0</v>
      </c>
      <c r="CU41" s="70" t="str">
        <f t="shared" si="104"/>
        <v>1</v>
      </c>
      <c r="CV41" s="74">
        <f t="shared" si="105"/>
        <v>0</v>
      </c>
      <c r="CW41" s="87">
        <v>2</v>
      </c>
      <c r="CX41" s="87">
        <v>0</v>
      </c>
      <c r="CY41" s="70" t="str">
        <f t="shared" si="106"/>
        <v>1</v>
      </c>
      <c r="CZ41" s="74">
        <f t="shared" si="107"/>
        <v>0</v>
      </c>
      <c r="DA41" s="87">
        <v>1</v>
      </c>
      <c r="DB41" s="87">
        <v>0</v>
      </c>
      <c r="DC41" s="70" t="str">
        <f t="shared" si="108"/>
        <v>1</v>
      </c>
      <c r="DD41" s="74">
        <f t="shared" si="109"/>
        <v>0</v>
      </c>
      <c r="DE41" s="87">
        <v>1</v>
      </c>
      <c r="DF41" s="87">
        <v>1</v>
      </c>
      <c r="DG41" s="70" t="str">
        <f t="shared" si="110"/>
        <v>X</v>
      </c>
      <c r="DH41" s="74">
        <f t="shared" si="111"/>
        <v>0</v>
      </c>
      <c r="DI41" s="87">
        <v>0</v>
      </c>
      <c r="DJ41" s="87">
        <v>0</v>
      </c>
      <c r="DK41" s="70" t="str">
        <f t="shared" si="112"/>
        <v>X</v>
      </c>
      <c r="DL41" s="74">
        <f t="shared" si="113"/>
        <v>0</v>
      </c>
      <c r="DM41" s="87">
        <v>2</v>
      </c>
      <c r="DN41" s="87">
        <v>0</v>
      </c>
      <c r="DO41" s="70" t="str">
        <f t="shared" si="56"/>
        <v>1</v>
      </c>
      <c r="DP41" s="74">
        <f t="shared" si="57"/>
        <v>0</v>
      </c>
    </row>
    <row r="42" spans="1:120" ht="16" customHeight="1" thickBot="1">
      <c r="A42" s="130">
        <v>44732</v>
      </c>
      <c r="B42" s="131" t="s">
        <v>103</v>
      </c>
      <c r="C42" s="85" t="s">
        <v>71</v>
      </c>
      <c r="D42" s="85" t="s">
        <v>73</v>
      </c>
      <c r="E42" s="84">
        <f t="shared" si="58"/>
        <v>0</v>
      </c>
      <c r="F42" s="23"/>
      <c r="G42" s="5"/>
      <c r="H42" s="77" t="b">
        <f t="shared" si="59"/>
        <v>0</v>
      </c>
      <c r="I42" s="87">
        <v>2</v>
      </c>
      <c r="J42" s="87">
        <v>0</v>
      </c>
      <c r="K42" s="70" t="str">
        <f t="shared" si="60"/>
        <v>1</v>
      </c>
      <c r="L42" s="74">
        <f t="shared" si="61"/>
        <v>0</v>
      </c>
      <c r="M42" s="87">
        <v>1</v>
      </c>
      <c r="N42" s="87">
        <v>1</v>
      </c>
      <c r="O42" s="70" t="str">
        <f t="shared" si="62"/>
        <v>X</v>
      </c>
      <c r="P42" s="74">
        <f t="shared" si="63"/>
        <v>0</v>
      </c>
      <c r="Q42" s="87">
        <v>1</v>
      </c>
      <c r="R42" s="87">
        <v>1</v>
      </c>
      <c r="S42" s="70" t="str">
        <f t="shared" si="64"/>
        <v>X</v>
      </c>
      <c r="T42" s="74">
        <f t="shared" si="65"/>
        <v>0</v>
      </c>
      <c r="U42" s="87">
        <v>3</v>
      </c>
      <c r="V42" s="87">
        <v>1</v>
      </c>
      <c r="W42" s="70" t="str">
        <f t="shared" si="66"/>
        <v>1</v>
      </c>
      <c r="X42" s="74">
        <f t="shared" si="67"/>
        <v>0</v>
      </c>
      <c r="Y42" s="87">
        <v>2</v>
      </c>
      <c r="Z42" s="87">
        <v>1</v>
      </c>
      <c r="AA42" s="70" t="str">
        <f t="shared" si="68"/>
        <v>1</v>
      </c>
      <c r="AB42" s="74">
        <f t="shared" si="69"/>
        <v>0</v>
      </c>
      <c r="AC42" s="87">
        <v>2</v>
      </c>
      <c r="AD42" s="87">
        <v>0</v>
      </c>
      <c r="AE42" s="70" t="str">
        <f t="shared" si="70"/>
        <v>1</v>
      </c>
      <c r="AF42" s="74">
        <f t="shared" si="71"/>
        <v>0</v>
      </c>
      <c r="AG42" s="87">
        <v>0</v>
      </c>
      <c r="AH42" s="87">
        <v>0</v>
      </c>
      <c r="AI42" s="70" t="str">
        <f t="shared" si="72"/>
        <v>X</v>
      </c>
      <c r="AJ42" s="74">
        <f t="shared" si="73"/>
        <v>0</v>
      </c>
      <c r="AK42" s="87">
        <v>2</v>
      </c>
      <c r="AL42" s="87">
        <v>0</v>
      </c>
      <c r="AM42" s="70" t="str">
        <f t="shared" si="74"/>
        <v>1</v>
      </c>
      <c r="AN42" s="74">
        <f t="shared" si="75"/>
        <v>0</v>
      </c>
      <c r="AO42" s="87">
        <v>1</v>
      </c>
      <c r="AP42" s="87">
        <v>1</v>
      </c>
      <c r="AQ42" s="70" t="str">
        <f t="shared" si="76"/>
        <v>X</v>
      </c>
      <c r="AR42" s="74">
        <f t="shared" si="77"/>
        <v>0</v>
      </c>
      <c r="AS42" s="88">
        <v>2</v>
      </c>
      <c r="AT42" s="88">
        <v>1</v>
      </c>
      <c r="AU42" s="70" t="str">
        <f t="shared" si="78"/>
        <v>1</v>
      </c>
      <c r="AV42" s="74">
        <f t="shared" si="79"/>
        <v>0</v>
      </c>
      <c r="AW42" s="87">
        <v>2</v>
      </c>
      <c r="AX42" s="87">
        <v>0</v>
      </c>
      <c r="AY42" s="70" t="str">
        <f t="shared" si="80"/>
        <v>1</v>
      </c>
      <c r="AZ42" s="74">
        <f t="shared" si="81"/>
        <v>0</v>
      </c>
      <c r="BA42" s="91">
        <v>1</v>
      </c>
      <c r="BB42" s="91">
        <v>0</v>
      </c>
      <c r="BC42" s="70" t="str">
        <f t="shared" si="82"/>
        <v>1</v>
      </c>
      <c r="BD42" s="74">
        <f t="shared" si="83"/>
        <v>0</v>
      </c>
      <c r="BE42" s="87">
        <v>1</v>
      </c>
      <c r="BF42" s="87">
        <v>0</v>
      </c>
      <c r="BG42" s="70" t="str">
        <f t="shared" si="84"/>
        <v>1</v>
      </c>
      <c r="BH42" s="74">
        <f t="shared" si="85"/>
        <v>0</v>
      </c>
      <c r="BI42" s="87">
        <v>2</v>
      </c>
      <c r="BJ42" s="87">
        <v>1</v>
      </c>
      <c r="BK42" s="70" t="str">
        <f t="shared" si="86"/>
        <v>1</v>
      </c>
      <c r="BL42" s="74">
        <f t="shared" si="87"/>
        <v>0</v>
      </c>
      <c r="BM42" s="87">
        <v>2</v>
      </c>
      <c r="BN42" s="87">
        <v>0</v>
      </c>
      <c r="BO42" s="70" t="str">
        <f t="shared" si="88"/>
        <v>1</v>
      </c>
      <c r="BP42" s="74">
        <f t="shared" si="89"/>
        <v>0</v>
      </c>
      <c r="BQ42" s="87">
        <v>4</v>
      </c>
      <c r="BR42" s="87">
        <v>0</v>
      </c>
      <c r="BS42" s="70" t="str">
        <f t="shared" si="90"/>
        <v>1</v>
      </c>
      <c r="BT42" s="74">
        <f t="shared" si="91"/>
        <v>0</v>
      </c>
      <c r="BU42" s="87">
        <v>3</v>
      </c>
      <c r="BV42" s="87">
        <v>1</v>
      </c>
      <c r="BW42" s="70" t="str">
        <f t="shared" si="92"/>
        <v>1</v>
      </c>
      <c r="BX42" s="74">
        <f t="shared" si="93"/>
        <v>0</v>
      </c>
      <c r="BY42" s="87">
        <v>1</v>
      </c>
      <c r="BZ42" s="87">
        <v>1</v>
      </c>
      <c r="CA42" s="70" t="str">
        <f t="shared" si="94"/>
        <v>X</v>
      </c>
      <c r="CB42" s="74">
        <f t="shared" si="95"/>
        <v>0</v>
      </c>
      <c r="CC42" s="87">
        <v>2</v>
      </c>
      <c r="CD42" s="87">
        <v>0</v>
      </c>
      <c r="CE42" s="70" t="str">
        <f t="shared" si="96"/>
        <v>1</v>
      </c>
      <c r="CF42" s="74">
        <f t="shared" si="97"/>
        <v>0</v>
      </c>
      <c r="CG42" s="87">
        <v>2</v>
      </c>
      <c r="CH42" s="87">
        <v>1</v>
      </c>
      <c r="CI42" s="70" t="str">
        <f t="shared" si="98"/>
        <v>1</v>
      </c>
      <c r="CJ42" s="74">
        <f t="shared" si="99"/>
        <v>0</v>
      </c>
      <c r="CK42" s="88">
        <v>3</v>
      </c>
      <c r="CL42" s="88">
        <v>1</v>
      </c>
      <c r="CM42" s="70" t="str">
        <f t="shared" si="100"/>
        <v>1</v>
      </c>
      <c r="CN42" s="74">
        <f t="shared" si="101"/>
        <v>0</v>
      </c>
      <c r="CO42" s="87">
        <v>0</v>
      </c>
      <c r="CP42" s="87">
        <v>0</v>
      </c>
      <c r="CQ42" s="70" t="str">
        <f t="shared" si="102"/>
        <v>X</v>
      </c>
      <c r="CR42" s="74">
        <f t="shared" si="103"/>
        <v>0</v>
      </c>
      <c r="CS42" s="87">
        <v>3</v>
      </c>
      <c r="CT42" s="87">
        <v>0</v>
      </c>
      <c r="CU42" s="70" t="str">
        <f t="shared" si="104"/>
        <v>1</v>
      </c>
      <c r="CV42" s="74">
        <f t="shared" si="105"/>
        <v>0</v>
      </c>
      <c r="CW42" s="87">
        <v>2</v>
      </c>
      <c r="CX42" s="87">
        <v>0</v>
      </c>
      <c r="CY42" s="70" t="str">
        <f t="shared" si="106"/>
        <v>1</v>
      </c>
      <c r="CZ42" s="74">
        <f t="shared" si="107"/>
        <v>0</v>
      </c>
      <c r="DA42" s="87">
        <v>2</v>
      </c>
      <c r="DB42" s="87">
        <v>0</v>
      </c>
      <c r="DC42" s="70" t="str">
        <f t="shared" si="108"/>
        <v>1</v>
      </c>
      <c r="DD42" s="74">
        <f t="shared" si="109"/>
        <v>0</v>
      </c>
      <c r="DE42" s="87">
        <v>2</v>
      </c>
      <c r="DF42" s="87">
        <v>1</v>
      </c>
      <c r="DG42" s="70" t="str">
        <f t="shared" si="110"/>
        <v>1</v>
      </c>
      <c r="DH42" s="74">
        <f t="shared" si="111"/>
        <v>0</v>
      </c>
      <c r="DI42" s="87">
        <v>4</v>
      </c>
      <c r="DJ42" s="87">
        <v>0</v>
      </c>
      <c r="DK42" s="70" t="str">
        <f t="shared" si="112"/>
        <v>1</v>
      </c>
      <c r="DL42" s="74">
        <f t="shared" si="113"/>
        <v>0</v>
      </c>
      <c r="DM42" s="87">
        <v>1</v>
      </c>
      <c r="DN42" s="87">
        <v>1</v>
      </c>
      <c r="DO42" s="70" t="str">
        <f t="shared" si="56"/>
        <v>X</v>
      </c>
      <c r="DP42" s="74">
        <f t="shared" si="57"/>
        <v>0</v>
      </c>
    </row>
    <row r="43" spans="1:120" ht="16" customHeight="1" thickBot="1">
      <c r="A43" s="130">
        <v>44733</v>
      </c>
      <c r="B43" s="131" t="s">
        <v>106</v>
      </c>
      <c r="C43" s="85" t="s">
        <v>74</v>
      </c>
      <c r="D43" s="85" t="s">
        <v>72</v>
      </c>
      <c r="E43" s="84">
        <f t="shared" si="58"/>
        <v>0</v>
      </c>
      <c r="F43" s="23"/>
      <c r="G43" s="5"/>
      <c r="H43" s="77" t="b">
        <f t="shared" si="59"/>
        <v>0</v>
      </c>
      <c r="I43" s="87">
        <v>0</v>
      </c>
      <c r="J43" s="87">
        <v>2</v>
      </c>
      <c r="K43" s="70" t="str">
        <f t="shared" si="60"/>
        <v>2</v>
      </c>
      <c r="L43" s="74">
        <f t="shared" si="61"/>
        <v>0</v>
      </c>
      <c r="M43" s="87">
        <v>1</v>
      </c>
      <c r="N43" s="87">
        <v>2</v>
      </c>
      <c r="O43" s="70" t="str">
        <f t="shared" si="62"/>
        <v>2</v>
      </c>
      <c r="P43" s="74">
        <f t="shared" si="63"/>
        <v>0</v>
      </c>
      <c r="Q43" s="87">
        <v>0</v>
      </c>
      <c r="R43" s="87">
        <v>3</v>
      </c>
      <c r="S43" s="70" t="str">
        <f t="shared" si="64"/>
        <v>2</v>
      </c>
      <c r="T43" s="74">
        <f t="shared" si="65"/>
        <v>0</v>
      </c>
      <c r="U43" s="87">
        <v>0</v>
      </c>
      <c r="V43" s="87">
        <v>1</v>
      </c>
      <c r="W43" s="70" t="str">
        <f t="shared" si="66"/>
        <v>2</v>
      </c>
      <c r="X43" s="74">
        <f t="shared" si="67"/>
        <v>0</v>
      </c>
      <c r="Y43" s="87">
        <v>0</v>
      </c>
      <c r="Z43" s="87">
        <v>1</v>
      </c>
      <c r="AA43" s="70" t="str">
        <f t="shared" si="68"/>
        <v>2</v>
      </c>
      <c r="AB43" s="74">
        <f t="shared" si="69"/>
        <v>0</v>
      </c>
      <c r="AC43" s="87">
        <v>0</v>
      </c>
      <c r="AD43" s="87">
        <v>2</v>
      </c>
      <c r="AE43" s="70" t="str">
        <f t="shared" si="70"/>
        <v>2</v>
      </c>
      <c r="AF43" s="74">
        <f t="shared" si="71"/>
        <v>0</v>
      </c>
      <c r="AG43" s="87">
        <v>0</v>
      </c>
      <c r="AH43" s="87">
        <v>2</v>
      </c>
      <c r="AI43" s="70" t="str">
        <f t="shared" si="72"/>
        <v>2</v>
      </c>
      <c r="AJ43" s="74">
        <f t="shared" si="73"/>
        <v>0</v>
      </c>
      <c r="AK43" s="87">
        <v>1</v>
      </c>
      <c r="AL43" s="87">
        <v>2</v>
      </c>
      <c r="AM43" s="70" t="str">
        <f t="shared" si="74"/>
        <v>2</v>
      </c>
      <c r="AN43" s="74">
        <f t="shared" si="75"/>
        <v>0</v>
      </c>
      <c r="AO43" s="87">
        <v>1</v>
      </c>
      <c r="AP43" s="87">
        <v>1</v>
      </c>
      <c r="AQ43" s="70" t="str">
        <f t="shared" si="76"/>
        <v>X</v>
      </c>
      <c r="AR43" s="74">
        <f t="shared" si="77"/>
        <v>0</v>
      </c>
      <c r="AS43" s="88">
        <v>0</v>
      </c>
      <c r="AT43" s="88">
        <v>2</v>
      </c>
      <c r="AU43" s="70" t="str">
        <f t="shared" si="78"/>
        <v>2</v>
      </c>
      <c r="AV43" s="74">
        <f t="shared" si="79"/>
        <v>0</v>
      </c>
      <c r="AW43" s="87">
        <v>0</v>
      </c>
      <c r="AX43" s="87">
        <v>2</v>
      </c>
      <c r="AY43" s="70" t="str">
        <f t="shared" si="80"/>
        <v>2</v>
      </c>
      <c r="AZ43" s="74">
        <f t="shared" si="81"/>
        <v>0</v>
      </c>
      <c r="BA43" s="91">
        <v>0</v>
      </c>
      <c r="BB43" s="91">
        <v>1</v>
      </c>
      <c r="BC43" s="70" t="str">
        <f t="shared" si="82"/>
        <v>2</v>
      </c>
      <c r="BD43" s="74">
        <f t="shared" si="83"/>
        <v>0</v>
      </c>
      <c r="BE43" s="87">
        <v>0</v>
      </c>
      <c r="BF43" s="87">
        <v>2</v>
      </c>
      <c r="BG43" s="70" t="str">
        <f t="shared" si="84"/>
        <v>2</v>
      </c>
      <c r="BH43" s="74">
        <f t="shared" si="85"/>
        <v>0</v>
      </c>
      <c r="BI43" s="87">
        <v>1</v>
      </c>
      <c r="BJ43" s="87">
        <v>2</v>
      </c>
      <c r="BK43" s="70" t="str">
        <f t="shared" si="86"/>
        <v>2</v>
      </c>
      <c r="BL43" s="74">
        <f t="shared" si="87"/>
        <v>0</v>
      </c>
      <c r="BM43" s="87">
        <v>0</v>
      </c>
      <c r="BN43" s="87">
        <v>1</v>
      </c>
      <c r="BO43" s="70" t="str">
        <f t="shared" si="88"/>
        <v>2</v>
      </c>
      <c r="BP43" s="74">
        <f t="shared" si="89"/>
        <v>0</v>
      </c>
      <c r="BQ43" s="87">
        <v>0</v>
      </c>
      <c r="BR43" s="87">
        <v>2</v>
      </c>
      <c r="BS43" s="70" t="str">
        <f t="shared" si="90"/>
        <v>2</v>
      </c>
      <c r="BT43" s="74">
        <f t="shared" si="91"/>
        <v>0</v>
      </c>
      <c r="BU43" s="87">
        <v>1</v>
      </c>
      <c r="BV43" s="87">
        <v>2</v>
      </c>
      <c r="BW43" s="70" t="str">
        <f t="shared" si="92"/>
        <v>2</v>
      </c>
      <c r="BX43" s="74">
        <f t="shared" si="93"/>
        <v>0</v>
      </c>
      <c r="BY43" s="87">
        <v>0</v>
      </c>
      <c r="BZ43" s="87">
        <v>1</v>
      </c>
      <c r="CA43" s="70" t="str">
        <f t="shared" si="94"/>
        <v>2</v>
      </c>
      <c r="CB43" s="74">
        <f t="shared" si="95"/>
        <v>0</v>
      </c>
      <c r="CC43" s="87">
        <v>1</v>
      </c>
      <c r="CD43" s="87">
        <v>1</v>
      </c>
      <c r="CE43" s="70" t="str">
        <f t="shared" si="96"/>
        <v>X</v>
      </c>
      <c r="CF43" s="74">
        <f t="shared" si="97"/>
        <v>0</v>
      </c>
      <c r="CG43" s="87">
        <v>1</v>
      </c>
      <c r="CH43" s="87">
        <v>1</v>
      </c>
      <c r="CI43" s="70" t="str">
        <f t="shared" si="98"/>
        <v>X</v>
      </c>
      <c r="CJ43" s="74">
        <f t="shared" si="99"/>
        <v>0</v>
      </c>
      <c r="CK43" s="88">
        <v>1</v>
      </c>
      <c r="CL43" s="88">
        <v>1</v>
      </c>
      <c r="CM43" s="70" t="str">
        <f t="shared" si="100"/>
        <v>X</v>
      </c>
      <c r="CN43" s="74">
        <f t="shared" si="101"/>
        <v>0</v>
      </c>
      <c r="CO43" s="87">
        <v>0</v>
      </c>
      <c r="CP43" s="87">
        <v>1</v>
      </c>
      <c r="CQ43" s="70" t="str">
        <f t="shared" si="102"/>
        <v>2</v>
      </c>
      <c r="CR43" s="74">
        <f t="shared" si="103"/>
        <v>0</v>
      </c>
      <c r="CS43" s="87">
        <v>0</v>
      </c>
      <c r="CT43" s="87">
        <v>1</v>
      </c>
      <c r="CU43" s="70" t="str">
        <f t="shared" si="104"/>
        <v>2</v>
      </c>
      <c r="CV43" s="74">
        <f t="shared" si="105"/>
        <v>0</v>
      </c>
      <c r="CW43" s="87">
        <v>0</v>
      </c>
      <c r="CX43" s="87">
        <v>1</v>
      </c>
      <c r="CY43" s="70" t="str">
        <f t="shared" si="106"/>
        <v>2</v>
      </c>
      <c r="CZ43" s="74">
        <f t="shared" si="107"/>
        <v>0</v>
      </c>
      <c r="DA43" s="87">
        <v>0</v>
      </c>
      <c r="DB43" s="87">
        <v>2</v>
      </c>
      <c r="DC43" s="70" t="str">
        <f t="shared" si="108"/>
        <v>2</v>
      </c>
      <c r="DD43" s="74">
        <f t="shared" si="109"/>
        <v>0</v>
      </c>
      <c r="DE43" s="87">
        <v>2</v>
      </c>
      <c r="DF43" s="87">
        <v>1</v>
      </c>
      <c r="DG43" s="70" t="str">
        <f t="shared" si="110"/>
        <v>1</v>
      </c>
      <c r="DH43" s="74">
        <f t="shared" si="111"/>
        <v>0</v>
      </c>
      <c r="DI43" s="87">
        <v>0</v>
      </c>
      <c r="DJ43" s="87">
        <v>3</v>
      </c>
      <c r="DK43" s="70" t="str">
        <f t="shared" si="112"/>
        <v>2</v>
      </c>
      <c r="DL43" s="74">
        <f t="shared" si="113"/>
        <v>0</v>
      </c>
      <c r="DM43" s="87">
        <v>0</v>
      </c>
      <c r="DN43" s="87">
        <v>1</v>
      </c>
      <c r="DO43" s="70" t="str">
        <f t="shared" si="56"/>
        <v>2</v>
      </c>
      <c r="DP43" s="74">
        <f t="shared" si="57"/>
        <v>0</v>
      </c>
    </row>
    <row r="44" spans="1:120" ht="16" customHeight="1" thickBot="1">
      <c r="A44" s="130">
        <v>44738</v>
      </c>
      <c r="B44" s="131" t="s">
        <v>110</v>
      </c>
      <c r="C44" s="85" t="s">
        <v>72</v>
      </c>
      <c r="D44" s="85" t="s">
        <v>73</v>
      </c>
      <c r="E44" s="84">
        <f t="shared" si="58"/>
        <v>0</v>
      </c>
      <c r="F44" s="23"/>
      <c r="G44" s="5"/>
      <c r="H44" s="77" t="b">
        <f t="shared" si="59"/>
        <v>0</v>
      </c>
      <c r="I44" s="87"/>
      <c r="J44" s="87"/>
      <c r="K44" s="70" t="str">
        <f t="shared" si="60"/>
        <v>X</v>
      </c>
      <c r="L44" s="74">
        <f t="shared" si="61"/>
        <v>0</v>
      </c>
      <c r="M44" s="87"/>
      <c r="N44" s="87"/>
      <c r="O44" s="70" t="str">
        <f t="shared" si="62"/>
        <v>X</v>
      </c>
      <c r="P44" s="74">
        <f t="shared" si="63"/>
        <v>0</v>
      </c>
      <c r="Q44" s="87"/>
      <c r="R44" s="87"/>
      <c r="S44" s="70" t="str">
        <f t="shared" si="64"/>
        <v>X</v>
      </c>
      <c r="T44" s="74">
        <f t="shared" si="65"/>
        <v>0</v>
      </c>
      <c r="U44" s="87"/>
      <c r="V44" s="87"/>
      <c r="W44" s="70" t="str">
        <f t="shared" si="66"/>
        <v>X</v>
      </c>
      <c r="X44" s="74">
        <f t="shared" si="67"/>
        <v>0</v>
      </c>
      <c r="Y44" s="87"/>
      <c r="Z44" s="87"/>
      <c r="AA44" s="70" t="str">
        <f t="shared" si="68"/>
        <v>X</v>
      </c>
      <c r="AB44" s="74">
        <f t="shared" si="69"/>
        <v>0</v>
      </c>
      <c r="AC44" s="87"/>
      <c r="AD44" s="87"/>
      <c r="AE44" s="70" t="str">
        <f t="shared" si="70"/>
        <v>X</v>
      </c>
      <c r="AF44" s="74">
        <f t="shared" si="71"/>
        <v>0</v>
      </c>
      <c r="AG44" s="87"/>
      <c r="AH44" s="87"/>
      <c r="AI44" s="70" t="str">
        <f t="shared" si="72"/>
        <v>X</v>
      </c>
      <c r="AJ44" s="74">
        <f t="shared" si="73"/>
        <v>0</v>
      </c>
      <c r="AK44" s="87"/>
      <c r="AL44" s="87"/>
      <c r="AM44" s="70" t="str">
        <f t="shared" si="74"/>
        <v>X</v>
      </c>
      <c r="AN44" s="74">
        <f t="shared" si="75"/>
        <v>0</v>
      </c>
      <c r="AO44" s="87"/>
      <c r="AP44" s="87"/>
      <c r="AQ44" s="70" t="str">
        <f t="shared" si="76"/>
        <v>X</v>
      </c>
      <c r="AR44" s="74">
        <f t="shared" si="77"/>
        <v>0</v>
      </c>
      <c r="AS44" s="88"/>
      <c r="AT44" s="88"/>
      <c r="AU44" s="70" t="str">
        <f t="shared" si="78"/>
        <v>X</v>
      </c>
      <c r="AV44" s="74">
        <f t="shared" si="79"/>
        <v>0</v>
      </c>
      <c r="AW44" s="87"/>
      <c r="AX44" s="87"/>
      <c r="AY44" s="70" t="str">
        <f t="shared" si="80"/>
        <v>X</v>
      </c>
      <c r="AZ44" s="74">
        <f t="shared" si="81"/>
        <v>0</v>
      </c>
      <c r="BA44" s="91"/>
      <c r="BB44" s="91"/>
      <c r="BC44" s="70" t="str">
        <f t="shared" si="82"/>
        <v>X</v>
      </c>
      <c r="BD44" s="74">
        <f t="shared" si="83"/>
        <v>0</v>
      </c>
      <c r="BE44" s="87"/>
      <c r="BF44" s="87"/>
      <c r="BG44" s="70" t="str">
        <f t="shared" si="84"/>
        <v>X</v>
      </c>
      <c r="BH44" s="74">
        <f t="shared" si="85"/>
        <v>0</v>
      </c>
      <c r="BI44" s="87"/>
      <c r="BJ44" s="87"/>
      <c r="BK44" s="70" t="str">
        <f t="shared" si="86"/>
        <v>X</v>
      </c>
      <c r="BL44" s="74">
        <f t="shared" si="87"/>
        <v>0</v>
      </c>
      <c r="BM44" s="87"/>
      <c r="BN44" s="87"/>
      <c r="BO44" s="70" t="str">
        <f t="shared" si="88"/>
        <v>X</v>
      </c>
      <c r="BP44" s="74">
        <f t="shared" si="89"/>
        <v>0</v>
      </c>
      <c r="BQ44" s="87"/>
      <c r="BR44" s="87"/>
      <c r="BS44" s="70" t="str">
        <f t="shared" si="90"/>
        <v>X</v>
      </c>
      <c r="BT44" s="74">
        <f t="shared" si="91"/>
        <v>0</v>
      </c>
      <c r="BU44" s="87"/>
      <c r="BV44" s="87"/>
      <c r="BW44" s="70" t="str">
        <f t="shared" si="92"/>
        <v>X</v>
      </c>
      <c r="BX44" s="74">
        <f t="shared" si="93"/>
        <v>0</v>
      </c>
      <c r="BY44" s="87"/>
      <c r="BZ44" s="87"/>
      <c r="CA44" s="70" t="str">
        <f t="shared" si="94"/>
        <v>X</v>
      </c>
      <c r="CB44" s="74">
        <f t="shared" si="95"/>
        <v>0</v>
      </c>
      <c r="CC44" s="87"/>
      <c r="CD44" s="87"/>
      <c r="CE44" s="70" t="str">
        <f t="shared" si="96"/>
        <v>X</v>
      </c>
      <c r="CF44" s="74">
        <f t="shared" si="97"/>
        <v>0</v>
      </c>
      <c r="CG44" s="87"/>
      <c r="CH44" s="87"/>
      <c r="CI44" s="70" t="str">
        <f t="shared" si="98"/>
        <v>X</v>
      </c>
      <c r="CJ44" s="74">
        <f t="shared" si="99"/>
        <v>0</v>
      </c>
      <c r="CK44" s="88"/>
      <c r="CL44" s="88"/>
      <c r="CM44" s="70" t="str">
        <f t="shared" si="100"/>
        <v>X</v>
      </c>
      <c r="CN44" s="74">
        <f t="shared" si="101"/>
        <v>0</v>
      </c>
      <c r="CO44" s="87"/>
      <c r="CP44" s="87"/>
      <c r="CQ44" s="70" t="str">
        <f t="shared" si="102"/>
        <v>X</v>
      </c>
      <c r="CR44" s="74">
        <f t="shared" si="103"/>
        <v>0</v>
      </c>
      <c r="CS44" s="87"/>
      <c r="CT44" s="87"/>
      <c r="CU44" s="70" t="str">
        <f t="shared" si="104"/>
        <v>X</v>
      </c>
      <c r="CV44" s="74">
        <f t="shared" si="105"/>
        <v>0</v>
      </c>
      <c r="CW44" s="87"/>
      <c r="CX44" s="87"/>
      <c r="CY44" s="70" t="str">
        <f t="shared" si="106"/>
        <v>X</v>
      </c>
      <c r="CZ44" s="74">
        <f t="shared" si="107"/>
        <v>0</v>
      </c>
      <c r="DA44" s="87"/>
      <c r="DB44" s="87"/>
      <c r="DC44" s="70" t="str">
        <f t="shared" si="108"/>
        <v>X</v>
      </c>
      <c r="DD44" s="74">
        <f t="shared" si="109"/>
        <v>0</v>
      </c>
      <c r="DE44" s="87"/>
      <c r="DF44" s="87"/>
      <c r="DG44" s="70" t="str">
        <f t="shared" si="110"/>
        <v>X</v>
      </c>
      <c r="DH44" s="74">
        <f t="shared" si="111"/>
        <v>0</v>
      </c>
      <c r="DI44" s="87"/>
      <c r="DJ44" s="87"/>
      <c r="DK44" s="70" t="str">
        <f t="shared" si="112"/>
        <v>X</v>
      </c>
      <c r="DL44" s="74">
        <f t="shared" si="113"/>
        <v>0</v>
      </c>
      <c r="DM44" s="87"/>
      <c r="DN44" s="87"/>
      <c r="DO44" s="70" t="str">
        <f t="shared" si="56"/>
        <v>X</v>
      </c>
      <c r="DP44" s="74">
        <f t="shared" si="57"/>
        <v>0</v>
      </c>
    </row>
    <row r="45" spans="1:120" ht="16" customHeight="1" thickBot="1">
      <c r="A45" s="130">
        <v>44738</v>
      </c>
      <c r="B45" s="131" t="s">
        <v>110</v>
      </c>
      <c r="C45" s="85" t="s">
        <v>74</v>
      </c>
      <c r="D45" s="85" t="s">
        <v>71</v>
      </c>
      <c r="E45" s="84">
        <f t="shared" si="58"/>
        <v>0</v>
      </c>
      <c r="F45" s="23"/>
      <c r="G45" s="5"/>
      <c r="H45" s="77" t="b">
        <f t="shared" si="59"/>
        <v>0</v>
      </c>
      <c r="I45" s="87"/>
      <c r="J45" s="87"/>
      <c r="K45" s="70" t="str">
        <f t="shared" si="60"/>
        <v>X</v>
      </c>
      <c r="L45" s="74">
        <f t="shared" si="61"/>
        <v>0</v>
      </c>
      <c r="M45" s="87"/>
      <c r="N45" s="87"/>
      <c r="O45" s="70" t="str">
        <f t="shared" si="62"/>
        <v>X</v>
      </c>
      <c r="P45" s="74">
        <f t="shared" si="63"/>
        <v>0</v>
      </c>
      <c r="Q45" s="87"/>
      <c r="R45" s="87"/>
      <c r="S45" s="70" t="str">
        <f t="shared" si="64"/>
        <v>X</v>
      </c>
      <c r="T45" s="74">
        <f t="shared" si="65"/>
        <v>0</v>
      </c>
      <c r="U45" s="87"/>
      <c r="V45" s="87"/>
      <c r="W45" s="70" t="str">
        <f t="shared" si="66"/>
        <v>X</v>
      </c>
      <c r="X45" s="74">
        <f t="shared" si="67"/>
        <v>0</v>
      </c>
      <c r="Y45" s="87"/>
      <c r="Z45" s="87"/>
      <c r="AA45" s="70" t="str">
        <f t="shared" si="68"/>
        <v>X</v>
      </c>
      <c r="AB45" s="74">
        <f t="shared" si="69"/>
        <v>0</v>
      </c>
      <c r="AC45" s="87"/>
      <c r="AD45" s="87"/>
      <c r="AE45" s="70" t="str">
        <f t="shared" si="70"/>
        <v>X</v>
      </c>
      <c r="AF45" s="74">
        <f t="shared" si="71"/>
        <v>0</v>
      </c>
      <c r="AG45" s="87"/>
      <c r="AH45" s="87"/>
      <c r="AI45" s="70" t="str">
        <f t="shared" si="72"/>
        <v>X</v>
      </c>
      <c r="AJ45" s="74">
        <f t="shared" si="73"/>
        <v>0</v>
      </c>
      <c r="AK45" s="87"/>
      <c r="AL45" s="87"/>
      <c r="AM45" s="70" t="str">
        <f t="shared" si="74"/>
        <v>X</v>
      </c>
      <c r="AN45" s="74">
        <f t="shared" si="75"/>
        <v>0</v>
      </c>
      <c r="AO45" s="87"/>
      <c r="AP45" s="87"/>
      <c r="AQ45" s="70" t="str">
        <f t="shared" si="76"/>
        <v>X</v>
      </c>
      <c r="AR45" s="74">
        <f t="shared" si="77"/>
        <v>0</v>
      </c>
      <c r="AS45" s="88"/>
      <c r="AT45" s="88"/>
      <c r="AU45" s="70" t="str">
        <f t="shared" si="78"/>
        <v>X</v>
      </c>
      <c r="AV45" s="74">
        <f t="shared" si="79"/>
        <v>0</v>
      </c>
      <c r="AW45" s="87"/>
      <c r="AX45" s="87"/>
      <c r="AY45" s="70" t="str">
        <f t="shared" si="80"/>
        <v>X</v>
      </c>
      <c r="AZ45" s="74">
        <f t="shared" si="81"/>
        <v>0</v>
      </c>
      <c r="BA45" s="91"/>
      <c r="BB45" s="91"/>
      <c r="BC45" s="70" t="str">
        <f t="shared" si="82"/>
        <v>X</v>
      </c>
      <c r="BD45" s="74">
        <f t="shared" si="83"/>
        <v>0</v>
      </c>
      <c r="BE45" s="87"/>
      <c r="BF45" s="87"/>
      <c r="BG45" s="70" t="str">
        <f t="shared" si="84"/>
        <v>X</v>
      </c>
      <c r="BH45" s="74">
        <f t="shared" si="85"/>
        <v>0</v>
      </c>
      <c r="BI45" s="87"/>
      <c r="BJ45" s="87"/>
      <c r="BK45" s="70" t="str">
        <f t="shared" si="86"/>
        <v>X</v>
      </c>
      <c r="BL45" s="74">
        <f t="shared" si="87"/>
        <v>0</v>
      </c>
      <c r="BM45" s="87"/>
      <c r="BN45" s="87"/>
      <c r="BO45" s="70" t="str">
        <f t="shared" si="88"/>
        <v>X</v>
      </c>
      <c r="BP45" s="74">
        <f t="shared" si="89"/>
        <v>0</v>
      </c>
      <c r="BQ45" s="87"/>
      <c r="BR45" s="87"/>
      <c r="BS45" s="70" t="str">
        <f t="shared" si="90"/>
        <v>X</v>
      </c>
      <c r="BT45" s="74">
        <f t="shared" si="91"/>
        <v>0</v>
      </c>
      <c r="BU45" s="87"/>
      <c r="BV45" s="87"/>
      <c r="BW45" s="70" t="str">
        <f t="shared" si="92"/>
        <v>X</v>
      </c>
      <c r="BX45" s="74">
        <f t="shared" si="93"/>
        <v>0</v>
      </c>
      <c r="BY45" s="87"/>
      <c r="BZ45" s="87"/>
      <c r="CA45" s="70" t="str">
        <f t="shared" si="94"/>
        <v>X</v>
      </c>
      <c r="CB45" s="74">
        <f t="shared" si="95"/>
        <v>0</v>
      </c>
      <c r="CC45" s="87"/>
      <c r="CD45" s="87"/>
      <c r="CE45" s="70" t="str">
        <f t="shared" si="96"/>
        <v>X</v>
      </c>
      <c r="CF45" s="74">
        <f t="shared" si="97"/>
        <v>0</v>
      </c>
      <c r="CG45" s="87"/>
      <c r="CH45" s="87"/>
      <c r="CI45" s="70" t="str">
        <f t="shared" si="98"/>
        <v>X</v>
      </c>
      <c r="CJ45" s="74">
        <f t="shared" si="99"/>
        <v>0</v>
      </c>
      <c r="CK45" s="88"/>
      <c r="CL45" s="88"/>
      <c r="CM45" s="70" t="str">
        <f t="shared" si="100"/>
        <v>X</v>
      </c>
      <c r="CN45" s="74">
        <f t="shared" si="101"/>
        <v>0</v>
      </c>
      <c r="CO45" s="87"/>
      <c r="CP45" s="87"/>
      <c r="CQ45" s="70" t="str">
        <f t="shared" si="102"/>
        <v>X</v>
      </c>
      <c r="CR45" s="74">
        <f t="shared" si="103"/>
        <v>0</v>
      </c>
      <c r="CS45" s="87"/>
      <c r="CT45" s="87"/>
      <c r="CU45" s="70" t="str">
        <f t="shared" si="104"/>
        <v>X</v>
      </c>
      <c r="CV45" s="74">
        <f t="shared" si="105"/>
        <v>0</v>
      </c>
      <c r="CW45" s="87"/>
      <c r="CX45" s="87"/>
      <c r="CY45" s="70" t="str">
        <f t="shared" si="106"/>
        <v>X</v>
      </c>
      <c r="CZ45" s="74">
        <f t="shared" si="107"/>
        <v>0</v>
      </c>
      <c r="DA45" s="87"/>
      <c r="DB45" s="87"/>
      <c r="DC45" s="70" t="str">
        <f t="shared" si="108"/>
        <v>X</v>
      </c>
      <c r="DD45" s="74">
        <f t="shared" si="109"/>
        <v>0</v>
      </c>
      <c r="DE45" s="87"/>
      <c r="DF45" s="87"/>
      <c r="DG45" s="70" t="str">
        <f t="shared" si="110"/>
        <v>X</v>
      </c>
      <c r="DH45" s="74">
        <f t="shared" si="111"/>
        <v>0</v>
      </c>
      <c r="DI45" s="87"/>
      <c r="DJ45" s="87"/>
      <c r="DK45" s="70" t="str">
        <f t="shared" si="112"/>
        <v>X</v>
      </c>
      <c r="DL45" s="74">
        <f t="shared" si="113"/>
        <v>0</v>
      </c>
      <c r="DM45" s="87"/>
      <c r="DN45" s="87"/>
      <c r="DO45" s="70" t="str">
        <f t="shared" si="56"/>
        <v>X</v>
      </c>
      <c r="DP45" s="74">
        <f t="shared" si="57"/>
        <v>0</v>
      </c>
    </row>
    <row r="46" spans="1:120" ht="16" customHeight="1" thickBot="1">
      <c r="A46" s="130">
        <v>44726</v>
      </c>
      <c r="B46" s="131" t="s">
        <v>105</v>
      </c>
      <c r="C46" s="85" t="s">
        <v>75</v>
      </c>
      <c r="D46" s="85" t="s">
        <v>76</v>
      </c>
      <c r="E46" s="84">
        <f t="shared" si="58"/>
        <v>0</v>
      </c>
      <c r="F46" s="23"/>
      <c r="G46" s="5"/>
      <c r="H46" s="77" t="b">
        <f t="shared" si="59"/>
        <v>0</v>
      </c>
      <c r="I46" s="87">
        <v>2</v>
      </c>
      <c r="J46" s="87">
        <v>0</v>
      </c>
      <c r="K46" s="70" t="str">
        <f t="shared" si="60"/>
        <v>1</v>
      </c>
      <c r="L46" s="74">
        <f t="shared" si="61"/>
        <v>0</v>
      </c>
      <c r="M46" s="87">
        <v>2</v>
      </c>
      <c r="N46" s="87">
        <v>0</v>
      </c>
      <c r="O46" s="70" t="str">
        <f t="shared" si="62"/>
        <v>1</v>
      </c>
      <c r="P46" s="74">
        <f t="shared" si="63"/>
        <v>0</v>
      </c>
      <c r="Q46" s="87">
        <v>3</v>
      </c>
      <c r="R46" s="87">
        <v>0</v>
      </c>
      <c r="S46" s="70" t="str">
        <f t="shared" si="64"/>
        <v>1</v>
      </c>
      <c r="T46" s="74">
        <f t="shared" si="65"/>
        <v>0</v>
      </c>
      <c r="U46" s="87">
        <v>5</v>
      </c>
      <c r="V46" s="87">
        <v>1</v>
      </c>
      <c r="W46" s="70" t="str">
        <f t="shared" si="66"/>
        <v>1</v>
      </c>
      <c r="X46" s="74">
        <f t="shared" si="67"/>
        <v>0</v>
      </c>
      <c r="Y46" s="87">
        <v>1</v>
      </c>
      <c r="Z46" s="87">
        <v>2</v>
      </c>
      <c r="AA46" s="70" t="str">
        <f t="shared" si="68"/>
        <v>2</v>
      </c>
      <c r="AB46" s="74">
        <f t="shared" si="69"/>
        <v>0</v>
      </c>
      <c r="AC46" s="87">
        <v>4</v>
      </c>
      <c r="AD46" s="87">
        <v>0</v>
      </c>
      <c r="AE46" s="70" t="str">
        <f t="shared" si="70"/>
        <v>1</v>
      </c>
      <c r="AF46" s="74">
        <f t="shared" si="71"/>
        <v>0</v>
      </c>
      <c r="AG46" s="87">
        <v>5</v>
      </c>
      <c r="AH46" s="87">
        <v>0</v>
      </c>
      <c r="AI46" s="70" t="str">
        <f t="shared" si="72"/>
        <v>1</v>
      </c>
      <c r="AJ46" s="74">
        <f t="shared" si="73"/>
        <v>0</v>
      </c>
      <c r="AK46" s="87">
        <v>9</v>
      </c>
      <c r="AL46" s="87">
        <v>0</v>
      </c>
      <c r="AM46" s="70" t="str">
        <f t="shared" si="74"/>
        <v>1</v>
      </c>
      <c r="AN46" s="74">
        <f t="shared" si="75"/>
        <v>0</v>
      </c>
      <c r="AO46" s="87">
        <v>4</v>
      </c>
      <c r="AP46" s="87">
        <v>1</v>
      </c>
      <c r="AQ46" s="70" t="str">
        <f t="shared" si="76"/>
        <v>1</v>
      </c>
      <c r="AR46" s="74">
        <f t="shared" si="77"/>
        <v>0</v>
      </c>
      <c r="AS46" s="88">
        <v>5</v>
      </c>
      <c r="AT46" s="88">
        <v>0</v>
      </c>
      <c r="AU46" s="70" t="str">
        <f t="shared" si="78"/>
        <v>1</v>
      </c>
      <c r="AV46" s="74">
        <f t="shared" si="79"/>
        <v>0</v>
      </c>
      <c r="AW46" s="87">
        <v>4</v>
      </c>
      <c r="AX46" s="87">
        <v>0</v>
      </c>
      <c r="AY46" s="70" t="str">
        <f t="shared" si="80"/>
        <v>1</v>
      </c>
      <c r="AZ46" s="74">
        <f t="shared" si="81"/>
        <v>0</v>
      </c>
      <c r="BA46" s="91">
        <v>2</v>
      </c>
      <c r="BB46" s="91">
        <v>0</v>
      </c>
      <c r="BC46" s="70" t="str">
        <f t="shared" si="82"/>
        <v>1</v>
      </c>
      <c r="BD46" s="74">
        <f t="shared" si="83"/>
        <v>0</v>
      </c>
      <c r="BE46" s="87">
        <v>3</v>
      </c>
      <c r="BF46" s="87">
        <v>0</v>
      </c>
      <c r="BG46" s="70" t="str">
        <f t="shared" si="84"/>
        <v>1</v>
      </c>
      <c r="BH46" s="74">
        <f t="shared" si="85"/>
        <v>0</v>
      </c>
      <c r="BI46" s="87">
        <v>3</v>
      </c>
      <c r="BJ46" s="87">
        <v>0</v>
      </c>
      <c r="BK46" s="70" t="str">
        <f t="shared" si="86"/>
        <v>1</v>
      </c>
      <c r="BL46" s="74">
        <f t="shared" si="87"/>
        <v>0</v>
      </c>
      <c r="BM46" s="87">
        <v>4</v>
      </c>
      <c r="BN46" s="87">
        <v>0</v>
      </c>
      <c r="BO46" s="70" t="str">
        <f t="shared" si="88"/>
        <v>1</v>
      </c>
      <c r="BP46" s="74">
        <f t="shared" si="89"/>
        <v>0</v>
      </c>
      <c r="BQ46" s="87">
        <v>3</v>
      </c>
      <c r="BR46" s="87">
        <v>0</v>
      </c>
      <c r="BS46" s="70" t="str">
        <f t="shared" si="90"/>
        <v>1</v>
      </c>
      <c r="BT46" s="74">
        <f t="shared" si="91"/>
        <v>0</v>
      </c>
      <c r="BU46" s="87">
        <v>3</v>
      </c>
      <c r="BV46" s="87">
        <v>0</v>
      </c>
      <c r="BW46" s="70" t="str">
        <f t="shared" si="92"/>
        <v>1</v>
      </c>
      <c r="BX46" s="74">
        <f t="shared" si="93"/>
        <v>0</v>
      </c>
      <c r="BY46" s="87">
        <v>5</v>
      </c>
      <c r="BZ46" s="87">
        <v>0</v>
      </c>
      <c r="CA46" s="70" t="str">
        <f t="shared" si="94"/>
        <v>1</v>
      </c>
      <c r="CB46" s="74">
        <f t="shared" si="95"/>
        <v>0</v>
      </c>
      <c r="CC46" s="87">
        <v>4</v>
      </c>
      <c r="CD46" s="87">
        <v>0</v>
      </c>
      <c r="CE46" s="70" t="str">
        <f t="shared" si="96"/>
        <v>1</v>
      </c>
      <c r="CF46" s="74">
        <f t="shared" si="97"/>
        <v>0</v>
      </c>
      <c r="CG46" s="87">
        <v>3</v>
      </c>
      <c r="CH46" s="87">
        <v>0</v>
      </c>
      <c r="CI46" s="70" t="str">
        <f t="shared" si="98"/>
        <v>1</v>
      </c>
      <c r="CJ46" s="74">
        <f t="shared" si="99"/>
        <v>0</v>
      </c>
      <c r="CK46" s="88">
        <v>5</v>
      </c>
      <c r="CL46" s="88">
        <v>0</v>
      </c>
      <c r="CM46" s="70" t="str">
        <f t="shared" si="100"/>
        <v>1</v>
      </c>
      <c r="CN46" s="74">
        <f t="shared" si="101"/>
        <v>0</v>
      </c>
      <c r="CO46" s="87">
        <v>4</v>
      </c>
      <c r="CP46" s="87">
        <v>0</v>
      </c>
      <c r="CQ46" s="70" t="str">
        <f t="shared" si="102"/>
        <v>1</v>
      </c>
      <c r="CR46" s="74">
        <f t="shared" si="103"/>
        <v>0</v>
      </c>
      <c r="CS46" s="87">
        <v>3</v>
      </c>
      <c r="CT46" s="87">
        <v>0</v>
      </c>
      <c r="CU46" s="70" t="str">
        <f t="shared" si="104"/>
        <v>1</v>
      </c>
      <c r="CV46" s="74">
        <f t="shared" si="105"/>
        <v>0</v>
      </c>
      <c r="CW46" s="87">
        <v>4</v>
      </c>
      <c r="CX46" s="87">
        <v>0</v>
      </c>
      <c r="CY46" s="70" t="str">
        <f t="shared" si="106"/>
        <v>1</v>
      </c>
      <c r="CZ46" s="74">
        <f t="shared" si="107"/>
        <v>0</v>
      </c>
      <c r="DA46" s="87">
        <v>3</v>
      </c>
      <c r="DB46" s="87">
        <v>0</v>
      </c>
      <c r="DC46" s="70" t="str">
        <f t="shared" si="108"/>
        <v>1</v>
      </c>
      <c r="DD46" s="74">
        <f t="shared" si="109"/>
        <v>0</v>
      </c>
      <c r="DE46" s="87">
        <v>6</v>
      </c>
      <c r="DF46" s="87">
        <v>0</v>
      </c>
      <c r="DG46" s="70" t="str">
        <f t="shared" si="110"/>
        <v>1</v>
      </c>
      <c r="DH46" s="74">
        <f t="shared" si="111"/>
        <v>0</v>
      </c>
      <c r="DI46" s="87">
        <v>3</v>
      </c>
      <c r="DJ46" s="87">
        <v>0</v>
      </c>
      <c r="DK46" s="70" t="str">
        <f t="shared" si="112"/>
        <v>1</v>
      </c>
      <c r="DL46" s="74">
        <f t="shared" si="113"/>
        <v>0</v>
      </c>
      <c r="DM46" s="87">
        <v>4</v>
      </c>
      <c r="DN46" s="87">
        <v>0</v>
      </c>
      <c r="DO46" s="70" t="str">
        <f t="shared" si="56"/>
        <v>1</v>
      </c>
      <c r="DP46" s="74">
        <f t="shared" si="57"/>
        <v>0</v>
      </c>
    </row>
    <row r="47" spans="1:120" ht="16" customHeight="1" thickBot="1">
      <c r="A47" s="130">
        <v>44727</v>
      </c>
      <c r="B47" s="131" t="s">
        <v>107</v>
      </c>
      <c r="C47" s="85" t="s">
        <v>77</v>
      </c>
      <c r="D47" s="85" t="s">
        <v>78</v>
      </c>
      <c r="E47" s="84">
        <f t="shared" si="58"/>
        <v>0</v>
      </c>
      <c r="F47" s="23"/>
      <c r="G47" s="5"/>
      <c r="H47" s="77" t="b">
        <f t="shared" si="59"/>
        <v>0</v>
      </c>
      <c r="I47" s="87">
        <v>1</v>
      </c>
      <c r="J47" s="87">
        <v>2</v>
      </c>
      <c r="K47" s="70" t="str">
        <f t="shared" si="60"/>
        <v>2</v>
      </c>
      <c r="L47" s="74">
        <f t="shared" si="61"/>
        <v>0</v>
      </c>
      <c r="M47" s="87">
        <v>1</v>
      </c>
      <c r="N47" s="87">
        <v>2</v>
      </c>
      <c r="O47" s="70" t="str">
        <f t="shared" si="62"/>
        <v>2</v>
      </c>
      <c r="P47" s="74">
        <f t="shared" si="63"/>
        <v>0</v>
      </c>
      <c r="Q47" s="87">
        <v>0</v>
      </c>
      <c r="R47" s="87">
        <v>2</v>
      </c>
      <c r="S47" s="70" t="str">
        <f t="shared" si="64"/>
        <v>2</v>
      </c>
      <c r="T47" s="74">
        <f t="shared" si="65"/>
        <v>0</v>
      </c>
      <c r="U47" s="87">
        <v>0</v>
      </c>
      <c r="V47" s="87">
        <v>1</v>
      </c>
      <c r="W47" s="70" t="str">
        <f t="shared" si="66"/>
        <v>2</v>
      </c>
      <c r="X47" s="74">
        <f t="shared" si="67"/>
        <v>0</v>
      </c>
      <c r="Y47" s="87">
        <v>1</v>
      </c>
      <c r="Z47" s="87">
        <v>2</v>
      </c>
      <c r="AA47" s="70" t="str">
        <f t="shared" si="68"/>
        <v>2</v>
      </c>
      <c r="AB47" s="74">
        <f t="shared" si="69"/>
        <v>0</v>
      </c>
      <c r="AC47" s="87">
        <v>0</v>
      </c>
      <c r="AD47" s="87">
        <v>2</v>
      </c>
      <c r="AE47" s="70" t="str">
        <f t="shared" si="70"/>
        <v>2</v>
      </c>
      <c r="AF47" s="74">
        <f t="shared" si="71"/>
        <v>0</v>
      </c>
      <c r="AG47" s="87">
        <v>0</v>
      </c>
      <c r="AH47" s="87">
        <v>2</v>
      </c>
      <c r="AI47" s="70" t="str">
        <f t="shared" si="72"/>
        <v>2</v>
      </c>
      <c r="AJ47" s="74">
        <f t="shared" si="73"/>
        <v>0</v>
      </c>
      <c r="AK47" s="87">
        <v>0</v>
      </c>
      <c r="AL47" s="87">
        <v>3</v>
      </c>
      <c r="AM47" s="70" t="str">
        <f t="shared" si="74"/>
        <v>2</v>
      </c>
      <c r="AN47" s="74">
        <f t="shared" si="75"/>
        <v>0</v>
      </c>
      <c r="AO47" s="87">
        <v>2</v>
      </c>
      <c r="AP47" s="87">
        <v>2</v>
      </c>
      <c r="AQ47" s="70" t="str">
        <f t="shared" si="76"/>
        <v>X</v>
      </c>
      <c r="AR47" s="74">
        <f t="shared" si="77"/>
        <v>0</v>
      </c>
      <c r="AS47" s="88">
        <v>0</v>
      </c>
      <c r="AT47" s="88">
        <v>3</v>
      </c>
      <c r="AU47" s="70" t="str">
        <f t="shared" si="78"/>
        <v>2</v>
      </c>
      <c r="AV47" s="74">
        <f t="shared" si="79"/>
        <v>0</v>
      </c>
      <c r="AW47" s="87">
        <v>0</v>
      </c>
      <c r="AX47" s="87">
        <v>2</v>
      </c>
      <c r="AY47" s="70" t="str">
        <f t="shared" si="80"/>
        <v>2</v>
      </c>
      <c r="AZ47" s="74">
        <f t="shared" si="81"/>
        <v>0</v>
      </c>
      <c r="BA47" s="91">
        <v>0</v>
      </c>
      <c r="BB47" s="91">
        <v>2</v>
      </c>
      <c r="BC47" s="70" t="str">
        <f t="shared" si="82"/>
        <v>2</v>
      </c>
      <c r="BD47" s="74">
        <f t="shared" si="83"/>
        <v>0</v>
      </c>
      <c r="BE47" s="87">
        <v>0</v>
      </c>
      <c r="BF47" s="87">
        <v>2</v>
      </c>
      <c r="BG47" s="70" t="str">
        <f t="shared" si="84"/>
        <v>2</v>
      </c>
      <c r="BH47" s="74">
        <f t="shared" si="85"/>
        <v>0</v>
      </c>
      <c r="BI47" s="87">
        <v>1</v>
      </c>
      <c r="BJ47" s="87">
        <v>2</v>
      </c>
      <c r="BK47" s="70" t="str">
        <f t="shared" si="86"/>
        <v>2</v>
      </c>
      <c r="BL47" s="74">
        <f t="shared" si="87"/>
        <v>0</v>
      </c>
      <c r="BM47" s="87">
        <v>0</v>
      </c>
      <c r="BN47" s="87">
        <v>2</v>
      </c>
      <c r="BO47" s="70" t="str">
        <f t="shared" si="88"/>
        <v>2</v>
      </c>
      <c r="BP47" s="74">
        <f t="shared" si="89"/>
        <v>0</v>
      </c>
      <c r="BQ47" s="87">
        <v>1</v>
      </c>
      <c r="BR47" s="87">
        <v>2</v>
      </c>
      <c r="BS47" s="70" t="str">
        <f t="shared" si="90"/>
        <v>2</v>
      </c>
      <c r="BT47" s="74">
        <f t="shared" si="91"/>
        <v>0</v>
      </c>
      <c r="BU47" s="87">
        <v>0</v>
      </c>
      <c r="BV47" s="87">
        <v>2</v>
      </c>
      <c r="BW47" s="70" t="str">
        <f t="shared" si="92"/>
        <v>2</v>
      </c>
      <c r="BX47" s="74">
        <f t="shared" si="93"/>
        <v>0</v>
      </c>
      <c r="BY47" s="87">
        <v>1</v>
      </c>
      <c r="BZ47" s="87">
        <v>3</v>
      </c>
      <c r="CA47" s="70" t="str">
        <f t="shared" si="94"/>
        <v>2</v>
      </c>
      <c r="CB47" s="74">
        <f t="shared" si="95"/>
        <v>0</v>
      </c>
      <c r="CC47" s="87">
        <v>1</v>
      </c>
      <c r="CD47" s="87">
        <v>2</v>
      </c>
      <c r="CE47" s="70" t="str">
        <f t="shared" si="96"/>
        <v>2</v>
      </c>
      <c r="CF47" s="74">
        <f t="shared" si="97"/>
        <v>0</v>
      </c>
      <c r="CG47" s="87">
        <v>0</v>
      </c>
      <c r="CH47" s="87">
        <v>2</v>
      </c>
      <c r="CI47" s="70" t="str">
        <f t="shared" si="98"/>
        <v>2</v>
      </c>
      <c r="CJ47" s="74">
        <f t="shared" si="99"/>
        <v>0</v>
      </c>
      <c r="CK47" s="88">
        <v>0</v>
      </c>
      <c r="CL47" s="88">
        <v>2</v>
      </c>
      <c r="CM47" s="70" t="str">
        <f t="shared" si="100"/>
        <v>2</v>
      </c>
      <c r="CN47" s="74">
        <f t="shared" si="101"/>
        <v>0</v>
      </c>
      <c r="CO47" s="87">
        <v>1</v>
      </c>
      <c r="CP47" s="87">
        <v>2</v>
      </c>
      <c r="CQ47" s="70" t="str">
        <f t="shared" si="102"/>
        <v>2</v>
      </c>
      <c r="CR47" s="74">
        <f t="shared" si="103"/>
        <v>0</v>
      </c>
      <c r="CS47" s="87">
        <v>0</v>
      </c>
      <c r="CT47" s="87">
        <v>2</v>
      </c>
      <c r="CU47" s="70" t="str">
        <f t="shared" si="104"/>
        <v>2</v>
      </c>
      <c r="CV47" s="74">
        <f t="shared" si="105"/>
        <v>0</v>
      </c>
      <c r="CW47" s="87">
        <v>0</v>
      </c>
      <c r="CX47" s="87">
        <v>2</v>
      </c>
      <c r="CY47" s="70" t="str">
        <f t="shared" si="106"/>
        <v>2</v>
      </c>
      <c r="CZ47" s="74">
        <f t="shared" si="107"/>
        <v>0</v>
      </c>
      <c r="DA47" s="87">
        <v>1</v>
      </c>
      <c r="DB47" s="87">
        <v>2</v>
      </c>
      <c r="DC47" s="70" t="str">
        <f t="shared" si="108"/>
        <v>2</v>
      </c>
      <c r="DD47" s="74">
        <f t="shared" si="109"/>
        <v>0</v>
      </c>
      <c r="DE47" s="87">
        <v>1</v>
      </c>
      <c r="DF47" s="87">
        <v>2</v>
      </c>
      <c r="DG47" s="70" t="str">
        <f t="shared" si="110"/>
        <v>2</v>
      </c>
      <c r="DH47" s="74">
        <f t="shared" si="111"/>
        <v>0</v>
      </c>
      <c r="DI47" s="87">
        <v>0</v>
      </c>
      <c r="DJ47" s="87">
        <v>4</v>
      </c>
      <c r="DK47" s="70" t="str">
        <f t="shared" si="112"/>
        <v>2</v>
      </c>
      <c r="DL47" s="74">
        <f t="shared" si="113"/>
        <v>0</v>
      </c>
      <c r="DM47" s="87">
        <v>0</v>
      </c>
      <c r="DN47" s="87">
        <v>1</v>
      </c>
      <c r="DO47" s="70" t="str">
        <f t="shared" si="56"/>
        <v>2</v>
      </c>
      <c r="DP47" s="74">
        <f t="shared" si="57"/>
        <v>0</v>
      </c>
    </row>
    <row r="48" spans="1:120" ht="16" customHeight="1" thickBot="1">
      <c r="A48" s="130">
        <v>44732</v>
      </c>
      <c r="B48" s="131" t="s">
        <v>105</v>
      </c>
      <c r="C48" s="85" t="s">
        <v>75</v>
      </c>
      <c r="D48" s="85" t="s">
        <v>77</v>
      </c>
      <c r="E48" s="84">
        <f t="shared" si="58"/>
        <v>0</v>
      </c>
      <c r="F48" s="23"/>
      <c r="G48" s="5"/>
      <c r="H48" s="77" t="b">
        <f t="shared" si="59"/>
        <v>0</v>
      </c>
      <c r="I48" s="87">
        <v>3</v>
      </c>
      <c r="J48" s="87">
        <v>0</v>
      </c>
      <c r="K48" s="70" t="str">
        <f t="shared" si="60"/>
        <v>1</v>
      </c>
      <c r="L48" s="74">
        <f t="shared" si="61"/>
        <v>0</v>
      </c>
      <c r="M48" s="87">
        <v>3</v>
      </c>
      <c r="N48" s="87">
        <v>0</v>
      </c>
      <c r="O48" s="70" t="str">
        <f t="shared" si="62"/>
        <v>1</v>
      </c>
      <c r="P48" s="74">
        <f t="shared" si="63"/>
        <v>0</v>
      </c>
      <c r="Q48" s="87">
        <v>2</v>
      </c>
      <c r="R48" s="87">
        <v>0</v>
      </c>
      <c r="S48" s="70" t="str">
        <f t="shared" si="64"/>
        <v>1</v>
      </c>
      <c r="T48" s="74">
        <f t="shared" si="65"/>
        <v>0</v>
      </c>
      <c r="U48" s="87">
        <v>3</v>
      </c>
      <c r="V48" s="87">
        <v>0</v>
      </c>
      <c r="W48" s="70" t="str">
        <f t="shared" si="66"/>
        <v>1</v>
      </c>
      <c r="X48" s="74">
        <f t="shared" si="67"/>
        <v>0</v>
      </c>
      <c r="Y48" s="87">
        <v>3</v>
      </c>
      <c r="Z48" s="87">
        <v>0</v>
      </c>
      <c r="AA48" s="70" t="str">
        <f t="shared" si="68"/>
        <v>1</v>
      </c>
      <c r="AB48" s="74">
        <f t="shared" si="69"/>
        <v>0</v>
      </c>
      <c r="AC48" s="87">
        <v>3</v>
      </c>
      <c r="AD48" s="87">
        <v>0</v>
      </c>
      <c r="AE48" s="70" t="str">
        <f t="shared" si="70"/>
        <v>1</v>
      </c>
      <c r="AF48" s="74">
        <f t="shared" si="71"/>
        <v>0</v>
      </c>
      <c r="AG48" s="87">
        <v>4</v>
      </c>
      <c r="AH48" s="87">
        <v>0</v>
      </c>
      <c r="AI48" s="70" t="str">
        <f t="shared" si="72"/>
        <v>1</v>
      </c>
      <c r="AJ48" s="74">
        <f t="shared" si="73"/>
        <v>0</v>
      </c>
      <c r="AK48" s="87">
        <v>4</v>
      </c>
      <c r="AL48" s="87">
        <v>0</v>
      </c>
      <c r="AM48" s="70" t="str">
        <f t="shared" si="74"/>
        <v>1</v>
      </c>
      <c r="AN48" s="74">
        <f t="shared" si="75"/>
        <v>0</v>
      </c>
      <c r="AO48" s="87">
        <v>3</v>
      </c>
      <c r="AP48" s="87">
        <v>0</v>
      </c>
      <c r="AQ48" s="70" t="str">
        <f t="shared" si="76"/>
        <v>1</v>
      </c>
      <c r="AR48" s="74">
        <f t="shared" si="77"/>
        <v>0</v>
      </c>
      <c r="AS48" s="88">
        <v>4</v>
      </c>
      <c r="AT48" s="88">
        <v>0</v>
      </c>
      <c r="AU48" s="70" t="str">
        <f t="shared" si="78"/>
        <v>1</v>
      </c>
      <c r="AV48" s="74">
        <f t="shared" si="79"/>
        <v>0</v>
      </c>
      <c r="AW48" s="87">
        <v>3</v>
      </c>
      <c r="AX48" s="87">
        <v>0</v>
      </c>
      <c r="AY48" s="70" t="str">
        <f t="shared" si="80"/>
        <v>1</v>
      </c>
      <c r="AZ48" s="74">
        <f t="shared" si="81"/>
        <v>0</v>
      </c>
      <c r="BA48" s="91">
        <v>3</v>
      </c>
      <c r="BB48" s="91">
        <v>0</v>
      </c>
      <c r="BC48" s="70" t="str">
        <f t="shared" si="82"/>
        <v>1</v>
      </c>
      <c r="BD48" s="74">
        <f t="shared" si="83"/>
        <v>0</v>
      </c>
      <c r="BE48" s="87">
        <v>2</v>
      </c>
      <c r="BF48" s="87">
        <v>1</v>
      </c>
      <c r="BG48" s="70" t="str">
        <f t="shared" si="84"/>
        <v>1</v>
      </c>
      <c r="BH48" s="74">
        <f t="shared" si="85"/>
        <v>0</v>
      </c>
      <c r="BI48" s="87">
        <v>3</v>
      </c>
      <c r="BJ48" s="87">
        <v>0</v>
      </c>
      <c r="BK48" s="70" t="str">
        <f t="shared" si="86"/>
        <v>1</v>
      </c>
      <c r="BL48" s="74">
        <f t="shared" si="87"/>
        <v>0</v>
      </c>
      <c r="BM48" s="87">
        <v>2</v>
      </c>
      <c r="BN48" s="87">
        <v>0</v>
      </c>
      <c r="BO48" s="70" t="str">
        <f t="shared" si="88"/>
        <v>1</v>
      </c>
      <c r="BP48" s="74">
        <f t="shared" si="89"/>
        <v>0</v>
      </c>
      <c r="BQ48" s="87">
        <v>3</v>
      </c>
      <c r="BR48" s="87">
        <v>0</v>
      </c>
      <c r="BS48" s="70" t="str">
        <f t="shared" si="90"/>
        <v>1</v>
      </c>
      <c r="BT48" s="74">
        <f t="shared" si="91"/>
        <v>0</v>
      </c>
      <c r="BU48" s="87">
        <v>4</v>
      </c>
      <c r="BV48" s="87">
        <v>1</v>
      </c>
      <c r="BW48" s="70" t="str">
        <f t="shared" si="92"/>
        <v>1</v>
      </c>
      <c r="BX48" s="74">
        <f t="shared" si="93"/>
        <v>0</v>
      </c>
      <c r="BY48" s="87">
        <v>3</v>
      </c>
      <c r="BZ48" s="87">
        <v>0</v>
      </c>
      <c r="CA48" s="70" t="str">
        <f t="shared" si="94"/>
        <v>1</v>
      </c>
      <c r="CB48" s="74">
        <f t="shared" si="95"/>
        <v>0</v>
      </c>
      <c r="CC48" s="87">
        <v>2</v>
      </c>
      <c r="CD48" s="87">
        <v>0</v>
      </c>
      <c r="CE48" s="70" t="str">
        <f t="shared" si="96"/>
        <v>1</v>
      </c>
      <c r="CF48" s="74">
        <f t="shared" si="97"/>
        <v>0</v>
      </c>
      <c r="CG48" s="87">
        <v>2</v>
      </c>
      <c r="CH48" s="87">
        <v>0</v>
      </c>
      <c r="CI48" s="70" t="str">
        <f t="shared" si="98"/>
        <v>1</v>
      </c>
      <c r="CJ48" s="74">
        <f t="shared" si="99"/>
        <v>0</v>
      </c>
      <c r="CK48" s="88">
        <v>4</v>
      </c>
      <c r="CL48" s="88">
        <v>0</v>
      </c>
      <c r="CM48" s="70" t="str">
        <f t="shared" si="100"/>
        <v>1</v>
      </c>
      <c r="CN48" s="74">
        <f t="shared" si="101"/>
        <v>0</v>
      </c>
      <c r="CO48" s="87">
        <v>2</v>
      </c>
      <c r="CP48" s="87">
        <v>0</v>
      </c>
      <c r="CQ48" s="70" t="str">
        <f t="shared" si="102"/>
        <v>1</v>
      </c>
      <c r="CR48" s="74">
        <f t="shared" si="103"/>
        <v>0</v>
      </c>
      <c r="CS48" s="87">
        <v>4</v>
      </c>
      <c r="CT48" s="87">
        <v>0</v>
      </c>
      <c r="CU48" s="70" t="str">
        <f t="shared" si="104"/>
        <v>1</v>
      </c>
      <c r="CV48" s="74">
        <f t="shared" si="105"/>
        <v>0</v>
      </c>
      <c r="CW48" s="87">
        <v>3</v>
      </c>
      <c r="CX48" s="87">
        <v>0</v>
      </c>
      <c r="CY48" s="70" t="str">
        <f t="shared" si="106"/>
        <v>1</v>
      </c>
      <c r="CZ48" s="74">
        <f t="shared" si="107"/>
        <v>0</v>
      </c>
      <c r="DA48" s="87">
        <v>2</v>
      </c>
      <c r="DB48" s="87">
        <v>0</v>
      </c>
      <c r="DC48" s="70" t="str">
        <f t="shared" si="108"/>
        <v>1</v>
      </c>
      <c r="DD48" s="74">
        <f t="shared" si="109"/>
        <v>0</v>
      </c>
      <c r="DE48" s="87">
        <v>4</v>
      </c>
      <c r="DF48" s="87">
        <v>0</v>
      </c>
      <c r="DG48" s="70" t="str">
        <f t="shared" si="110"/>
        <v>1</v>
      </c>
      <c r="DH48" s="74">
        <f t="shared" si="111"/>
        <v>0</v>
      </c>
      <c r="DI48" s="87">
        <v>4</v>
      </c>
      <c r="DJ48" s="87">
        <v>0</v>
      </c>
      <c r="DK48" s="70" t="str">
        <f t="shared" si="112"/>
        <v>1</v>
      </c>
      <c r="DL48" s="74">
        <f t="shared" si="113"/>
        <v>0</v>
      </c>
      <c r="DM48" s="87">
        <v>5</v>
      </c>
      <c r="DN48" s="87">
        <v>0</v>
      </c>
      <c r="DO48" s="70" t="str">
        <f t="shared" si="56"/>
        <v>1</v>
      </c>
      <c r="DP48" s="74">
        <f t="shared" si="57"/>
        <v>0</v>
      </c>
    </row>
    <row r="49" spans="1:120" ht="16" customHeight="1" thickBot="1">
      <c r="A49" s="130">
        <v>44733</v>
      </c>
      <c r="B49" s="131" t="s">
        <v>107</v>
      </c>
      <c r="C49" s="85" t="s">
        <v>78</v>
      </c>
      <c r="D49" s="85" t="s">
        <v>76</v>
      </c>
      <c r="E49" s="84">
        <f t="shared" si="58"/>
        <v>0</v>
      </c>
      <c r="F49" s="23"/>
      <c r="G49" s="5"/>
      <c r="H49" s="77" t="b">
        <f t="shared" si="59"/>
        <v>0</v>
      </c>
      <c r="I49" s="87">
        <v>1</v>
      </c>
      <c r="J49" s="87">
        <v>1</v>
      </c>
      <c r="K49" s="70" t="str">
        <f t="shared" si="60"/>
        <v>X</v>
      </c>
      <c r="L49" s="74">
        <f t="shared" si="61"/>
        <v>0</v>
      </c>
      <c r="M49" s="87">
        <v>2</v>
      </c>
      <c r="N49" s="87">
        <v>1</v>
      </c>
      <c r="O49" s="70" t="str">
        <f t="shared" si="62"/>
        <v>1</v>
      </c>
      <c r="P49" s="74">
        <f t="shared" si="63"/>
        <v>0</v>
      </c>
      <c r="Q49" s="87">
        <v>1</v>
      </c>
      <c r="R49" s="87">
        <v>0</v>
      </c>
      <c r="S49" s="70" t="str">
        <f t="shared" si="64"/>
        <v>1</v>
      </c>
      <c r="T49" s="74">
        <f t="shared" si="65"/>
        <v>0</v>
      </c>
      <c r="U49" s="87">
        <v>2</v>
      </c>
      <c r="V49" s="87">
        <v>0</v>
      </c>
      <c r="W49" s="70" t="str">
        <f t="shared" si="66"/>
        <v>1</v>
      </c>
      <c r="X49" s="74">
        <f t="shared" si="67"/>
        <v>0</v>
      </c>
      <c r="Y49" s="87">
        <v>1</v>
      </c>
      <c r="Z49" s="87">
        <v>0</v>
      </c>
      <c r="AA49" s="70" t="str">
        <f t="shared" si="68"/>
        <v>1</v>
      </c>
      <c r="AB49" s="74">
        <f t="shared" si="69"/>
        <v>0</v>
      </c>
      <c r="AC49" s="87">
        <v>3</v>
      </c>
      <c r="AD49" s="87">
        <v>0</v>
      </c>
      <c r="AE49" s="70" t="str">
        <f t="shared" si="70"/>
        <v>1</v>
      </c>
      <c r="AF49" s="74">
        <f t="shared" si="71"/>
        <v>0</v>
      </c>
      <c r="AG49" s="87">
        <v>2</v>
      </c>
      <c r="AH49" s="87">
        <v>0</v>
      </c>
      <c r="AI49" s="70" t="str">
        <f t="shared" si="72"/>
        <v>1</v>
      </c>
      <c r="AJ49" s="74">
        <f t="shared" si="73"/>
        <v>0</v>
      </c>
      <c r="AK49" s="87">
        <v>4</v>
      </c>
      <c r="AL49" s="87">
        <v>0</v>
      </c>
      <c r="AM49" s="70" t="str">
        <f t="shared" si="74"/>
        <v>1</v>
      </c>
      <c r="AN49" s="74">
        <f t="shared" si="75"/>
        <v>0</v>
      </c>
      <c r="AO49" s="87">
        <v>2</v>
      </c>
      <c r="AP49" s="87">
        <v>2</v>
      </c>
      <c r="AQ49" s="70" t="str">
        <f t="shared" si="76"/>
        <v>X</v>
      </c>
      <c r="AR49" s="74">
        <f t="shared" si="77"/>
        <v>0</v>
      </c>
      <c r="AS49" s="88">
        <v>3</v>
      </c>
      <c r="AT49" s="88">
        <v>0</v>
      </c>
      <c r="AU49" s="70" t="str">
        <f t="shared" si="78"/>
        <v>1</v>
      </c>
      <c r="AV49" s="74">
        <f t="shared" si="79"/>
        <v>0</v>
      </c>
      <c r="AW49" s="87">
        <v>3</v>
      </c>
      <c r="AX49" s="87">
        <v>0</v>
      </c>
      <c r="AY49" s="70" t="str">
        <f t="shared" si="80"/>
        <v>1</v>
      </c>
      <c r="AZ49" s="74">
        <f t="shared" si="81"/>
        <v>0</v>
      </c>
      <c r="BA49" s="91">
        <v>2</v>
      </c>
      <c r="BB49" s="91">
        <v>0</v>
      </c>
      <c r="BC49" s="70" t="str">
        <f t="shared" si="82"/>
        <v>1</v>
      </c>
      <c r="BD49" s="74">
        <f t="shared" si="83"/>
        <v>0</v>
      </c>
      <c r="BE49" s="87">
        <v>2</v>
      </c>
      <c r="BF49" s="87">
        <v>0</v>
      </c>
      <c r="BG49" s="70" t="str">
        <f t="shared" si="84"/>
        <v>1</v>
      </c>
      <c r="BH49" s="74">
        <f t="shared" si="85"/>
        <v>0</v>
      </c>
      <c r="BI49" s="87">
        <v>3</v>
      </c>
      <c r="BJ49" s="87">
        <v>0</v>
      </c>
      <c r="BK49" s="70" t="str">
        <f t="shared" si="86"/>
        <v>1</v>
      </c>
      <c r="BL49" s="74">
        <f t="shared" si="87"/>
        <v>0</v>
      </c>
      <c r="BM49" s="87">
        <v>2</v>
      </c>
      <c r="BN49" s="87">
        <v>0</v>
      </c>
      <c r="BO49" s="70" t="str">
        <f t="shared" si="88"/>
        <v>1</v>
      </c>
      <c r="BP49" s="74">
        <f t="shared" si="89"/>
        <v>0</v>
      </c>
      <c r="BQ49" s="87">
        <v>2</v>
      </c>
      <c r="BR49" s="87">
        <v>0</v>
      </c>
      <c r="BS49" s="70" t="str">
        <f t="shared" si="90"/>
        <v>1</v>
      </c>
      <c r="BT49" s="74">
        <f t="shared" si="91"/>
        <v>0</v>
      </c>
      <c r="BU49" s="87">
        <v>3</v>
      </c>
      <c r="BV49" s="87">
        <v>0</v>
      </c>
      <c r="BW49" s="70" t="str">
        <f t="shared" si="92"/>
        <v>1</v>
      </c>
      <c r="BX49" s="74">
        <f t="shared" si="93"/>
        <v>0</v>
      </c>
      <c r="BY49" s="87">
        <v>2</v>
      </c>
      <c r="BZ49" s="87">
        <v>1</v>
      </c>
      <c r="CA49" s="70" t="str">
        <f t="shared" si="94"/>
        <v>1</v>
      </c>
      <c r="CB49" s="74">
        <f t="shared" si="95"/>
        <v>0</v>
      </c>
      <c r="CC49" s="87">
        <v>3</v>
      </c>
      <c r="CD49" s="87">
        <v>0</v>
      </c>
      <c r="CE49" s="70" t="str">
        <f t="shared" si="96"/>
        <v>1</v>
      </c>
      <c r="CF49" s="74">
        <f t="shared" si="97"/>
        <v>0</v>
      </c>
      <c r="CG49" s="87">
        <v>2</v>
      </c>
      <c r="CH49" s="87">
        <v>1</v>
      </c>
      <c r="CI49" s="70" t="str">
        <f t="shared" si="98"/>
        <v>1</v>
      </c>
      <c r="CJ49" s="74">
        <f t="shared" si="99"/>
        <v>0</v>
      </c>
      <c r="CK49" s="88">
        <v>3</v>
      </c>
      <c r="CL49" s="88">
        <v>1</v>
      </c>
      <c r="CM49" s="70" t="str">
        <f t="shared" si="100"/>
        <v>1</v>
      </c>
      <c r="CN49" s="74">
        <f t="shared" si="101"/>
        <v>0</v>
      </c>
      <c r="CO49" s="87">
        <v>2</v>
      </c>
      <c r="CP49" s="87">
        <v>0</v>
      </c>
      <c r="CQ49" s="70" t="str">
        <f t="shared" si="102"/>
        <v>1</v>
      </c>
      <c r="CR49" s="74">
        <f t="shared" si="103"/>
        <v>0</v>
      </c>
      <c r="CS49" s="87">
        <v>3</v>
      </c>
      <c r="CT49" s="87">
        <v>0</v>
      </c>
      <c r="CU49" s="70" t="str">
        <f t="shared" si="104"/>
        <v>1</v>
      </c>
      <c r="CV49" s="74">
        <f t="shared" si="105"/>
        <v>0</v>
      </c>
      <c r="CW49" s="87">
        <v>3</v>
      </c>
      <c r="CX49" s="87">
        <v>0</v>
      </c>
      <c r="CY49" s="70" t="str">
        <f t="shared" si="106"/>
        <v>1</v>
      </c>
      <c r="CZ49" s="74">
        <f t="shared" si="107"/>
        <v>0</v>
      </c>
      <c r="DA49" s="87">
        <v>2</v>
      </c>
      <c r="DB49" s="87">
        <v>1</v>
      </c>
      <c r="DC49" s="70" t="str">
        <f t="shared" si="108"/>
        <v>1</v>
      </c>
      <c r="DD49" s="74">
        <f t="shared" si="109"/>
        <v>0</v>
      </c>
      <c r="DE49" s="87">
        <v>4</v>
      </c>
      <c r="DF49" s="87">
        <v>0</v>
      </c>
      <c r="DG49" s="70" t="str">
        <f t="shared" si="110"/>
        <v>1</v>
      </c>
      <c r="DH49" s="74">
        <f t="shared" si="111"/>
        <v>0</v>
      </c>
      <c r="DI49" s="87">
        <v>3</v>
      </c>
      <c r="DJ49" s="87">
        <v>1</v>
      </c>
      <c r="DK49" s="70" t="str">
        <f t="shared" si="112"/>
        <v>1</v>
      </c>
      <c r="DL49" s="74">
        <f t="shared" si="113"/>
        <v>0</v>
      </c>
      <c r="DM49" s="87">
        <v>3</v>
      </c>
      <c r="DN49" s="87">
        <v>1</v>
      </c>
      <c r="DO49" s="70" t="str">
        <f t="shared" si="56"/>
        <v>1</v>
      </c>
      <c r="DP49" s="74">
        <f t="shared" si="57"/>
        <v>0</v>
      </c>
    </row>
    <row r="50" spans="1:120" ht="16" customHeight="1" thickBot="1">
      <c r="A50" s="130">
        <v>44738</v>
      </c>
      <c r="B50" s="131" t="s">
        <v>114</v>
      </c>
      <c r="C50" s="85" t="s">
        <v>76</v>
      </c>
      <c r="D50" s="85" t="s">
        <v>77</v>
      </c>
      <c r="E50" s="84">
        <f t="shared" si="58"/>
        <v>0</v>
      </c>
      <c r="F50" s="23"/>
      <c r="G50" s="5"/>
      <c r="H50" s="77" t="b">
        <f t="shared" si="59"/>
        <v>0</v>
      </c>
      <c r="I50" s="87"/>
      <c r="J50" s="87"/>
      <c r="K50" s="70" t="str">
        <f t="shared" si="60"/>
        <v>X</v>
      </c>
      <c r="L50" s="74">
        <f t="shared" si="61"/>
        <v>0</v>
      </c>
      <c r="M50" s="87"/>
      <c r="N50" s="87"/>
      <c r="O50" s="70" t="str">
        <f t="shared" si="62"/>
        <v>X</v>
      </c>
      <c r="P50" s="74">
        <f t="shared" si="63"/>
        <v>0</v>
      </c>
      <c r="Q50" s="87"/>
      <c r="R50" s="87"/>
      <c r="S50" s="70" t="str">
        <f t="shared" si="64"/>
        <v>X</v>
      </c>
      <c r="T50" s="74">
        <f t="shared" si="65"/>
        <v>0</v>
      </c>
      <c r="U50" s="87"/>
      <c r="V50" s="87"/>
      <c r="W50" s="70" t="str">
        <f t="shared" si="66"/>
        <v>X</v>
      </c>
      <c r="X50" s="74">
        <f t="shared" si="67"/>
        <v>0</v>
      </c>
      <c r="Y50" s="87"/>
      <c r="Z50" s="87"/>
      <c r="AA50" s="70" t="str">
        <f t="shared" si="68"/>
        <v>X</v>
      </c>
      <c r="AB50" s="74">
        <f t="shared" si="69"/>
        <v>0</v>
      </c>
      <c r="AC50" s="87"/>
      <c r="AD50" s="87"/>
      <c r="AE50" s="70" t="str">
        <f t="shared" si="70"/>
        <v>X</v>
      </c>
      <c r="AF50" s="74">
        <f t="shared" si="71"/>
        <v>0</v>
      </c>
      <c r="AG50" s="87"/>
      <c r="AH50" s="87"/>
      <c r="AI50" s="70" t="str">
        <f t="shared" si="72"/>
        <v>X</v>
      </c>
      <c r="AJ50" s="74">
        <f t="shared" si="73"/>
        <v>0</v>
      </c>
      <c r="AK50" s="87"/>
      <c r="AL50" s="87"/>
      <c r="AM50" s="70" t="str">
        <f t="shared" si="74"/>
        <v>X</v>
      </c>
      <c r="AN50" s="74">
        <f t="shared" si="75"/>
        <v>0</v>
      </c>
      <c r="AO50" s="87"/>
      <c r="AP50" s="87"/>
      <c r="AQ50" s="70" t="str">
        <f t="shared" si="76"/>
        <v>X</v>
      </c>
      <c r="AR50" s="74">
        <f t="shared" si="77"/>
        <v>0</v>
      </c>
      <c r="AS50" s="88"/>
      <c r="AT50" s="88"/>
      <c r="AU50" s="70" t="str">
        <f t="shared" si="78"/>
        <v>X</v>
      </c>
      <c r="AV50" s="74">
        <f t="shared" si="79"/>
        <v>0</v>
      </c>
      <c r="AW50" s="87"/>
      <c r="AX50" s="87"/>
      <c r="AY50" s="70" t="str">
        <f t="shared" si="80"/>
        <v>X</v>
      </c>
      <c r="AZ50" s="74">
        <f t="shared" si="81"/>
        <v>0</v>
      </c>
      <c r="BA50" s="91"/>
      <c r="BB50" s="91"/>
      <c r="BC50" s="70" t="str">
        <f t="shared" si="82"/>
        <v>X</v>
      </c>
      <c r="BD50" s="74">
        <f t="shared" si="83"/>
        <v>0</v>
      </c>
      <c r="BE50" s="87"/>
      <c r="BF50" s="87"/>
      <c r="BG50" s="70" t="str">
        <f t="shared" si="84"/>
        <v>X</v>
      </c>
      <c r="BH50" s="74">
        <f t="shared" si="85"/>
        <v>0</v>
      </c>
      <c r="BI50" s="87"/>
      <c r="BJ50" s="87"/>
      <c r="BK50" s="70" t="str">
        <f t="shared" si="86"/>
        <v>X</v>
      </c>
      <c r="BL50" s="74">
        <f t="shared" si="87"/>
        <v>0</v>
      </c>
      <c r="BM50" s="87"/>
      <c r="BN50" s="87"/>
      <c r="BO50" s="70" t="str">
        <f t="shared" si="88"/>
        <v>X</v>
      </c>
      <c r="BP50" s="74">
        <f t="shared" si="89"/>
        <v>0</v>
      </c>
      <c r="BQ50" s="87"/>
      <c r="BR50" s="87"/>
      <c r="BS50" s="70" t="str">
        <f t="shared" si="90"/>
        <v>X</v>
      </c>
      <c r="BT50" s="74">
        <f t="shared" si="91"/>
        <v>0</v>
      </c>
      <c r="BU50" s="87"/>
      <c r="BV50" s="87"/>
      <c r="BW50" s="70" t="str">
        <f t="shared" si="92"/>
        <v>X</v>
      </c>
      <c r="BX50" s="74">
        <f t="shared" si="93"/>
        <v>0</v>
      </c>
      <c r="BY50" s="87"/>
      <c r="BZ50" s="87"/>
      <c r="CA50" s="70" t="str">
        <f t="shared" si="94"/>
        <v>X</v>
      </c>
      <c r="CB50" s="74">
        <f t="shared" si="95"/>
        <v>0</v>
      </c>
      <c r="CC50" s="87"/>
      <c r="CD50" s="87"/>
      <c r="CE50" s="70" t="str">
        <f t="shared" si="96"/>
        <v>X</v>
      </c>
      <c r="CF50" s="74">
        <f t="shared" si="97"/>
        <v>0</v>
      </c>
      <c r="CG50" s="87"/>
      <c r="CH50" s="87"/>
      <c r="CI50" s="70" t="str">
        <f t="shared" si="98"/>
        <v>X</v>
      </c>
      <c r="CJ50" s="74">
        <f t="shared" si="99"/>
        <v>0</v>
      </c>
      <c r="CK50" s="88"/>
      <c r="CL50" s="88"/>
      <c r="CM50" s="70" t="str">
        <f t="shared" si="100"/>
        <v>X</v>
      </c>
      <c r="CN50" s="74">
        <f t="shared" si="101"/>
        <v>0</v>
      </c>
      <c r="CO50" s="87"/>
      <c r="CP50" s="87"/>
      <c r="CQ50" s="70" t="str">
        <f t="shared" si="102"/>
        <v>X</v>
      </c>
      <c r="CR50" s="74">
        <f t="shared" si="103"/>
        <v>0</v>
      </c>
      <c r="CS50" s="87"/>
      <c r="CT50" s="87"/>
      <c r="CU50" s="70" t="str">
        <f t="shared" si="104"/>
        <v>X</v>
      </c>
      <c r="CV50" s="74">
        <f t="shared" si="105"/>
        <v>0</v>
      </c>
      <c r="CW50" s="87"/>
      <c r="CX50" s="87"/>
      <c r="CY50" s="70" t="str">
        <f t="shared" si="106"/>
        <v>X</v>
      </c>
      <c r="CZ50" s="74">
        <f t="shared" si="107"/>
        <v>0</v>
      </c>
      <c r="DA50" s="87"/>
      <c r="DB50" s="87"/>
      <c r="DC50" s="70" t="str">
        <f t="shared" si="108"/>
        <v>X</v>
      </c>
      <c r="DD50" s="74">
        <f t="shared" si="109"/>
        <v>0</v>
      </c>
      <c r="DE50" s="87"/>
      <c r="DF50" s="87"/>
      <c r="DG50" s="70" t="str">
        <f t="shared" si="110"/>
        <v>X</v>
      </c>
      <c r="DH50" s="74">
        <f t="shared" si="111"/>
        <v>0</v>
      </c>
      <c r="DI50" s="87"/>
      <c r="DJ50" s="87"/>
      <c r="DK50" s="70" t="str">
        <f t="shared" si="112"/>
        <v>X</v>
      </c>
      <c r="DL50" s="74">
        <f t="shared" si="113"/>
        <v>0</v>
      </c>
      <c r="DM50" s="87"/>
      <c r="DN50" s="87"/>
      <c r="DO50" s="70" t="str">
        <f t="shared" si="56"/>
        <v>X</v>
      </c>
      <c r="DP50" s="74">
        <f t="shared" si="57"/>
        <v>0</v>
      </c>
    </row>
    <row r="51" spans="1:120" ht="16" customHeight="1" thickBot="1">
      <c r="A51" s="130">
        <v>44738</v>
      </c>
      <c r="B51" s="131" t="s">
        <v>114</v>
      </c>
      <c r="C51" s="85" t="s">
        <v>78</v>
      </c>
      <c r="D51" s="85" t="s">
        <v>75</v>
      </c>
      <c r="E51" s="84">
        <f t="shared" si="58"/>
        <v>0</v>
      </c>
      <c r="F51" s="23"/>
      <c r="G51" s="5"/>
      <c r="H51" s="77" t="b">
        <f t="shared" si="59"/>
        <v>0</v>
      </c>
      <c r="I51" s="87"/>
      <c r="J51" s="87"/>
      <c r="K51" s="70" t="str">
        <f t="shared" si="60"/>
        <v>X</v>
      </c>
      <c r="L51" s="74">
        <f t="shared" si="61"/>
        <v>0</v>
      </c>
      <c r="M51" s="87"/>
      <c r="N51" s="87"/>
      <c r="O51" s="70" t="str">
        <f t="shared" si="62"/>
        <v>X</v>
      </c>
      <c r="P51" s="74">
        <f t="shared" si="63"/>
        <v>0</v>
      </c>
      <c r="Q51" s="87"/>
      <c r="R51" s="87"/>
      <c r="S51" s="70" t="str">
        <f t="shared" si="64"/>
        <v>X</v>
      </c>
      <c r="T51" s="74">
        <f t="shared" si="65"/>
        <v>0</v>
      </c>
      <c r="U51" s="87"/>
      <c r="V51" s="87"/>
      <c r="W51" s="70" t="str">
        <f t="shared" si="66"/>
        <v>X</v>
      </c>
      <c r="X51" s="74">
        <f t="shared" si="67"/>
        <v>0</v>
      </c>
      <c r="Y51" s="87"/>
      <c r="Z51" s="87"/>
      <c r="AA51" s="70" t="str">
        <f t="shared" si="68"/>
        <v>X</v>
      </c>
      <c r="AB51" s="74">
        <f t="shared" si="69"/>
        <v>0</v>
      </c>
      <c r="AC51" s="87"/>
      <c r="AD51" s="87"/>
      <c r="AE51" s="70" t="str">
        <f t="shared" si="70"/>
        <v>X</v>
      </c>
      <c r="AF51" s="74">
        <f t="shared" si="71"/>
        <v>0</v>
      </c>
      <c r="AG51" s="87"/>
      <c r="AH51" s="87"/>
      <c r="AI51" s="70" t="str">
        <f t="shared" si="72"/>
        <v>X</v>
      </c>
      <c r="AJ51" s="74">
        <f t="shared" si="73"/>
        <v>0</v>
      </c>
      <c r="AK51" s="87"/>
      <c r="AL51" s="87"/>
      <c r="AM51" s="70" t="str">
        <f t="shared" si="74"/>
        <v>X</v>
      </c>
      <c r="AN51" s="74">
        <f t="shared" si="75"/>
        <v>0</v>
      </c>
      <c r="AO51" s="87"/>
      <c r="AP51" s="87"/>
      <c r="AQ51" s="70" t="str">
        <f t="shared" si="76"/>
        <v>X</v>
      </c>
      <c r="AR51" s="74">
        <f t="shared" si="77"/>
        <v>0</v>
      </c>
      <c r="AS51" s="88"/>
      <c r="AT51" s="88"/>
      <c r="AU51" s="70" t="str">
        <f t="shared" si="78"/>
        <v>X</v>
      </c>
      <c r="AV51" s="74">
        <f t="shared" si="79"/>
        <v>0</v>
      </c>
      <c r="AW51" s="87"/>
      <c r="AX51" s="87"/>
      <c r="AY51" s="70" t="str">
        <f t="shared" si="80"/>
        <v>X</v>
      </c>
      <c r="AZ51" s="74">
        <f t="shared" si="81"/>
        <v>0</v>
      </c>
      <c r="BA51" s="91"/>
      <c r="BB51" s="91"/>
      <c r="BC51" s="70" t="str">
        <f t="shared" si="82"/>
        <v>X</v>
      </c>
      <c r="BD51" s="74">
        <f t="shared" si="83"/>
        <v>0</v>
      </c>
      <c r="BE51" s="87"/>
      <c r="BF51" s="87"/>
      <c r="BG51" s="70" t="str">
        <f t="shared" si="84"/>
        <v>X</v>
      </c>
      <c r="BH51" s="74">
        <f t="shared" si="85"/>
        <v>0</v>
      </c>
      <c r="BI51" s="87"/>
      <c r="BJ51" s="87"/>
      <c r="BK51" s="70" t="str">
        <f t="shared" si="86"/>
        <v>X</v>
      </c>
      <c r="BL51" s="74">
        <f t="shared" si="87"/>
        <v>0</v>
      </c>
      <c r="BM51" s="87"/>
      <c r="BN51" s="87"/>
      <c r="BO51" s="70" t="str">
        <f t="shared" si="88"/>
        <v>X</v>
      </c>
      <c r="BP51" s="74">
        <f t="shared" si="89"/>
        <v>0</v>
      </c>
      <c r="BQ51" s="87"/>
      <c r="BR51" s="87"/>
      <c r="BS51" s="70" t="str">
        <f t="shared" si="90"/>
        <v>X</v>
      </c>
      <c r="BT51" s="74">
        <f t="shared" si="91"/>
        <v>0</v>
      </c>
      <c r="BU51" s="87"/>
      <c r="BV51" s="87"/>
      <c r="BW51" s="70" t="str">
        <f t="shared" si="92"/>
        <v>X</v>
      </c>
      <c r="BX51" s="74">
        <f t="shared" si="93"/>
        <v>0</v>
      </c>
      <c r="BY51" s="87"/>
      <c r="BZ51" s="87"/>
      <c r="CA51" s="70" t="str">
        <f t="shared" si="94"/>
        <v>X</v>
      </c>
      <c r="CB51" s="74">
        <f t="shared" si="95"/>
        <v>0</v>
      </c>
      <c r="CC51" s="87"/>
      <c r="CD51" s="87"/>
      <c r="CE51" s="70" t="str">
        <f t="shared" si="96"/>
        <v>X</v>
      </c>
      <c r="CF51" s="74">
        <f t="shared" si="97"/>
        <v>0</v>
      </c>
      <c r="CG51" s="87"/>
      <c r="CH51" s="87"/>
      <c r="CI51" s="70" t="str">
        <f t="shared" si="98"/>
        <v>X</v>
      </c>
      <c r="CJ51" s="74">
        <f t="shared" si="99"/>
        <v>0</v>
      </c>
      <c r="CK51" s="88"/>
      <c r="CL51" s="88"/>
      <c r="CM51" s="70" t="str">
        <f t="shared" si="100"/>
        <v>X</v>
      </c>
      <c r="CN51" s="74">
        <f t="shared" si="101"/>
        <v>0</v>
      </c>
      <c r="CO51" s="87"/>
      <c r="CP51" s="87"/>
      <c r="CQ51" s="70" t="str">
        <f t="shared" si="102"/>
        <v>X</v>
      </c>
      <c r="CR51" s="74">
        <f t="shared" si="103"/>
        <v>0</v>
      </c>
      <c r="CS51" s="87"/>
      <c r="CT51" s="87"/>
      <c r="CU51" s="70" t="str">
        <f t="shared" si="104"/>
        <v>X</v>
      </c>
      <c r="CV51" s="74">
        <f t="shared" si="105"/>
        <v>0</v>
      </c>
      <c r="CW51" s="87"/>
      <c r="CX51" s="87"/>
      <c r="CY51" s="70" t="str">
        <f t="shared" si="106"/>
        <v>X</v>
      </c>
      <c r="CZ51" s="74">
        <f t="shared" si="107"/>
        <v>0</v>
      </c>
      <c r="DA51" s="87"/>
      <c r="DB51" s="87"/>
      <c r="DC51" s="70" t="str">
        <f t="shared" si="108"/>
        <v>X</v>
      </c>
      <c r="DD51" s="74">
        <f t="shared" si="109"/>
        <v>0</v>
      </c>
      <c r="DE51" s="87"/>
      <c r="DF51" s="87"/>
      <c r="DG51" s="70" t="str">
        <f t="shared" si="110"/>
        <v>X</v>
      </c>
      <c r="DH51" s="74">
        <f t="shared" si="111"/>
        <v>0</v>
      </c>
      <c r="DI51" s="87"/>
      <c r="DJ51" s="87"/>
      <c r="DK51" s="70" t="str">
        <f t="shared" si="112"/>
        <v>X</v>
      </c>
      <c r="DL51" s="74">
        <f t="shared" si="113"/>
        <v>0</v>
      </c>
      <c r="DM51" s="87"/>
      <c r="DN51" s="87"/>
      <c r="DO51" s="70" t="str">
        <f t="shared" si="56"/>
        <v>X</v>
      </c>
      <c r="DP51" s="74">
        <f t="shared" si="57"/>
        <v>0</v>
      </c>
    </row>
    <row r="52" spans="1:120" ht="16" customHeight="1" thickBot="1">
      <c r="A52" s="130">
        <v>44727</v>
      </c>
      <c r="B52" s="131" t="s">
        <v>103</v>
      </c>
      <c r="C52" s="85" t="s">
        <v>79</v>
      </c>
      <c r="D52" s="85" t="s">
        <v>80</v>
      </c>
      <c r="E52" s="84">
        <f t="shared" si="58"/>
        <v>0</v>
      </c>
      <c r="F52" s="23"/>
      <c r="G52" s="5"/>
      <c r="H52" s="77" t="b">
        <f t="shared" si="59"/>
        <v>0</v>
      </c>
      <c r="I52" s="87">
        <v>2</v>
      </c>
      <c r="J52" s="87">
        <v>1</v>
      </c>
      <c r="K52" s="70" t="str">
        <f t="shared" si="60"/>
        <v>1</v>
      </c>
      <c r="L52" s="74">
        <f t="shared" si="61"/>
        <v>0</v>
      </c>
      <c r="M52" s="87">
        <v>2</v>
      </c>
      <c r="N52" s="87">
        <v>2</v>
      </c>
      <c r="O52" s="70" t="str">
        <f t="shared" si="62"/>
        <v>X</v>
      </c>
      <c r="P52" s="74">
        <f t="shared" si="63"/>
        <v>0</v>
      </c>
      <c r="Q52" s="87">
        <v>2</v>
      </c>
      <c r="R52" s="87">
        <v>0</v>
      </c>
      <c r="S52" s="70" t="str">
        <f t="shared" si="64"/>
        <v>1</v>
      </c>
      <c r="T52" s="74">
        <f t="shared" si="65"/>
        <v>0</v>
      </c>
      <c r="U52" s="87">
        <v>2</v>
      </c>
      <c r="V52" s="87">
        <v>0</v>
      </c>
      <c r="W52" s="70" t="str">
        <f t="shared" si="66"/>
        <v>1</v>
      </c>
      <c r="X52" s="74">
        <f t="shared" si="67"/>
        <v>0</v>
      </c>
      <c r="Y52" s="87">
        <v>4</v>
      </c>
      <c r="Z52" s="87">
        <v>1</v>
      </c>
      <c r="AA52" s="70" t="str">
        <f t="shared" si="68"/>
        <v>1</v>
      </c>
      <c r="AB52" s="74">
        <f t="shared" si="69"/>
        <v>0</v>
      </c>
      <c r="AC52" s="87">
        <v>3</v>
      </c>
      <c r="AD52" s="87">
        <v>1</v>
      </c>
      <c r="AE52" s="70" t="str">
        <f t="shared" si="70"/>
        <v>1</v>
      </c>
      <c r="AF52" s="74">
        <f t="shared" si="71"/>
        <v>0</v>
      </c>
      <c r="AG52" s="87">
        <v>2</v>
      </c>
      <c r="AH52" s="87">
        <v>0</v>
      </c>
      <c r="AI52" s="70" t="str">
        <f t="shared" si="72"/>
        <v>1</v>
      </c>
      <c r="AJ52" s="74">
        <f t="shared" si="73"/>
        <v>0</v>
      </c>
      <c r="AK52" s="87">
        <v>2</v>
      </c>
      <c r="AL52" s="87">
        <v>0</v>
      </c>
      <c r="AM52" s="70" t="str">
        <f t="shared" si="74"/>
        <v>1</v>
      </c>
      <c r="AN52" s="74">
        <f t="shared" si="75"/>
        <v>0</v>
      </c>
      <c r="AO52" s="87">
        <v>1</v>
      </c>
      <c r="AP52" s="87">
        <v>1</v>
      </c>
      <c r="AQ52" s="70" t="str">
        <f t="shared" si="76"/>
        <v>X</v>
      </c>
      <c r="AR52" s="74">
        <f t="shared" si="77"/>
        <v>0</v>
      </c>
      <c r="AS52" s="88">
        <v>2</v>
      </c>
      <c r="AT52" s="88">
        <v>0</v>
      </c>
      <c r="AU52" s="70" t="str">
        <f t="shared" si="78"/>
        <v>1</v>
      </c>
      <c r="AV52" s="74">
        <f t="shared" si="79"/>
        <v>0</v>
      </c>
      <c r="AW52" s="87">
        <v>4</v>
      </c>
      <c r="AX52" s="87">
        <v>0</v>
      </c>
      <c r="AY52" s="70" t="str">
        <f t="shared" si="80"/>
        <v>1</v>
      </c>
      <c r="AZ52" s="74">
        <f t="shared" si="81"/>
        <v>0</v>
      </c>
      <c r="BA52" s="91">
        <v>2</v>
      </c>
      <c r="BB52" s="91">
        <v>1</v>
      </c>
      <c r="BC52" s="70" t="str">
        <f t="shared" si="82"/>
        <v>1</v>
      </c>
      <c r="BD52" s="74">
        <f t="shared" si="83"/>
        <v>0</v>
      </c>
      <c r="BE52" s="87">
        <v>2</v>
      </c>
      <c r="BF52" s="87">
        <v>1</v>
      </c>
      <c r="BG52" s="70" t="str">
        <f t="shared" si="84"/>
        <v>1</v>
      </c>
      <c r="BH52" s="74">
        <f t="shared" si="85"/>
        <v>0</v>
      </c>
      <c r="BI52" s="87">
        <v>3</v>
      </c>
      <c r="BJ52" s="87">
        <v>1</v>
      </c>
      <c r="BK52" s="70" t="str">
        <f t="shared" si="86"/>
        <v>1</v>
      </c>
      <c r="BL52" s="74">
        <f t="shared" si="87"/>
        <v>0</v>
      </c>
      <c r="BM52" s="87">
        <v>2</v>
      </c>
      <c r="BN52" s="87">
        <v>0</v>
      </c>
      <c r="BO52" s="70" t="str">
        <f t="shared" si="88"/>
        <v>1</v>
      </c>
      <c r="BP52" s="74">
        <f t="shared" si="89"/>
        <v>0</v>
      </c>
      <c r="BQ52" s="87">
        <v>3</v>
      </c>
      <c r="BR52" s="87">
        <v>1</v>
      </c>
      <c r="BS52" s="70" t="str">
        <f t="shared" si="90"/>
        <v>1</v>
      </c>
      <c r="BT52" s="74">
        <f t="shared" si="91"/>
        <v>0</v>
      </c>
      <c r="BU52" s="87">
        <v>3</v>
      </c>
      <c r="BV52" s="87">
        <v>1</v>
      </c>
      <c r="BW52" s="70" t="str">
        <f t="shared" si="92"/>
        <v>1</v>
      </c>
      <c r="BX52" s="74">
        <f t="shared" si="93"/>
        <v>0</v>
      </c>
      <c r="BY52" s="87">
        <v>3</v>
      </c>
      <c r="BZ52" s="87">
        <v>1</v>
      </c>
      <c r="CA52" s="70" t="str">
        <f t="shared" si="94"/>
        <v>1</v>
      </c>
      <c r="CB52" s="74">
        <f t="shared" si="95"/>
        <v>0</v>
      </c>
      <c r="CC52" s="87">
        <v>3</v>
      </c>
      <c r="CD52" s="87">
        <v>1</v>
      </c>
      <c r="CE52" s="70" t="str">
        <f t="shared" si="96"/>
        <v>1</v>
      </c>
      <c r="CF52" s="74">
        <f t="shared" si="97"/>
        <v>0</v>
      </c>
      <c r="CG52" s="87">
        <v>2</v>
      </c>
      <c r="CH52" s="87">
        <v>1</v>
      </c>
      <c r="CI52" s="70" t="str">
        <f t="shared" si="98"/>
        <v>1</v>
      </c>
      <c r="CJ52" s="74">
        <f t="shared" si="99"/>
        <v>0</v>
      </c>
      <c r="CK52" s="88">
        <v>3</v>
      </c>
      <c r="CL52" s="88">
        <v>1</v>
      </c>
      <c r="CM52" s="70" t="str">
        <f t="shared" si="100"/>
        <v>1</v>
      </c>
      <c r="CN52" s="74">
        <f t="shared" si="101"/>
        <v>0</v>
      </c>
      <c r="CO52" s="87">
        <v>2</v>
      </c>
      <c r="CP52" s="87">
        <v>1</v>
      </c>
      <c r="CQ52" s="70" t="str">
        <f t="shared" si="102"/>
        <v>1</v>
      </c>
      <c r="CR52" s="74">
        <f t="shared" si="103"/>
        <v>0</v>
      </c>
      <c r="CS52" s="87">
        <v>2</v>
      </c>
      <c r="CT52" s="87">
        <v>0</v>
      </c>
      <c r="CU52" s="70" t="str">
        <f t="shared" si="104"/>
        <v>1</v>
      </c>
      <c r="CV52" s="74">
        <f t="shared" si="105"/>
        <v>0</v>
      </c>
      <c r="CW52" s="87">
        <v>2</v>
      </c>
      <c r="CX52" s="87">
        <v>1</v>
      </c>
      <c r="CY52" s="70" t="str">
        <f t="shared" si="106"/>
        <v>1</v>
      </c>
      <c r="CZ52" s="74">
        <f t="shared" si="107"/>
        <v>0</v>
      </c>
      <c r="DA52" s="87">
        <v>2</v>
      </c>
      <c r="DB52" s="87">
        <v>1</v>
      </c>
      <c r="DC52" s="70" t="str">
        <f t="shared" si="108"/>
        <v>1</v>
      </c>
      <c r="DD52" s="74">
        <f t="shared" si="109"/>
        <v>0</v>
      </c>
      <c r="DE52" s="87">
        <v>3</v>
      </c>
      <c r="DF52" s="87">
        <v>0</v>
      </c>
      <c r="DG52" s="70" t="str">
        <f t="shared" si="110"/>
        <v>1</v>
      </c>
      <c r="DH52" s="74">
        <f t="shared" si="111"/>
        <v>0</v>
      </c>
      <c r="DI52" s="87">
        <v>1</v>
      </c>
      <c r="DJ52" s="87">
        <v>1</v>
      </c>
      <c r="DK52" s="70" t="str">
        <f t="shared" si="112"/>
        <v>X</v>
      </c>
      <c r="DL52" s="74">
        <f t="shared" si="113"/>
        <v>0</v>
      </c>
      <c r="DM52" s="87">
        <v>2</v>
      </c>
      <c r="DN52" s="87">
        <v>2</v>
      </c>
      <c r="DO52" s="70" t="str">
        <f t="shared" si="56"/>
        <v>X</v>
      </c>
      <c r="DP52" s="74">
        <f t="shared" si="57"/>
        <v>0</v>
      </c>
    </row>
    <row r="53" spans="1:120" ht="16" customHeight="1" thickBot="1">
      <c r="A53" s="130">
        <v>44728</v>
      </c>
      <c r="B53" s="131" t="s">
        <v>107</v>
      </c>
      <c r="C53" s="85" t="s">
        <v>81</v>
      </c>
      <c r="D53" s="85" t="s">
        <v>82</v>
      </c>
      <c r="E53" s="84">
        <f t="shared" si="58"/>
        <v>0</v>
      </c>
      <c r="F53" s="23"/>
      <c r="G53" s="5"/>
      <c r="H53" s="77" t="b">
        <f t="shared" si="59"/>
        <v>0</v>
      </c>
      <c r="I53" s="87">
        <v>0</v>
      </c>
      <c r="J53" s="87">
        <v>3</v>
      </c>
      <c r="K53" s="70" t="str">
        <f t="shared" si="60"/>
        <v>2</v>
      </c>
      <c r="L53" s="74">
        <f t="shared" si="61"/>
        <v>0</v>
      </c>
      <c r="M53" s="87">
        <v>0</v>
      </c>
      <c r="N53" s="87">
        <v>2</v>
      </c>
      <c r="O53" s="70" t="str">
        <f t="shared" si="62"/>
        <v>2</v>
      </c>
      <c r="P53" s="74">
        <f t="shared" si="63"/>
        <v>0</v>
      </c>
      <c r="Q53" s="87">
        <v>0</v>
      </c>
      <c r="R53" s="87">
        <v>3</v>
      </c>
      <c r="S53" s="70" t="str">
        <f t="shared" si="64"/>
        <v>2</v>
      </c>
      <c r="T53" s="74">
        <f t="shared" si="65"/>
        <v>0</v>
      </c>
      <c r="U53" s="87">
        <v>0</v>
      </c>
      <c r="V53" s="87">
        <v>2</v>
      </c>
      <c r="W53" s="70" t="str">
        <f t="shared" si="66"/>
        <v>2</v>
      </c>
      <c r="X53" s="74">
        <f t="shared" si="67"/>
        <v>0</v>
      </c>
      <c r="Y53" s="87">
        <v>0</v>
      </c>
      <c r="Z53" s="87">
        <v>5</v>
      </c>
      <c r="AA53" s="70" t="str">
        <f t="shared" si="68"/>
        <v>2</v>
      </c>
      <c r="AB53" s="74">
        <f t="shared" si="69"/>
        <v>0</v>
      </c>
      <c r="AC53" s="87">
        <v>0</v>
      </c>
      <c r="AD53" s="87">
        <v>2</v>
      </c>
      <c r="AE53" s="70" t="str">
        <f t="shared" si="70"/>
        <v>2</v>
      </c>
      <c r="AF53" s="74">
        <f t="shared" si="71"/>
        <v>0</v>
      </c>
      <c r="AG53" s="87">
        <v>0</v>
      </c>
      <c r="AH53" s="87">
        <v>3</v>
      </c>
      <c r="AI53" s="70" t="str">
        <f t="shared" si="72"/>
        <v>2</v>
      </c>
      <c r="AJ53" s="74">
        <f t="shared" si="73"/>
        <v>0</v>
      </c>
      <c r="AK53" s="87">
        <v>0</v>
      </c>
      <c r="AL53" s="87">
        <v>3</v>
      </c>
      <c r="AM53" s="70" t="str">
        <f t="shared" si="74"/>
        <v>2</v>
      </c>
      <c r="AN53" s="74">
        <f t="shared" si="75"/>
        <v>0</v>
      </c>
      <c r="AO53" s="87">
        <v>0</v>
      </c>
      <c r="AP53" s="87">
        <v>3</v>
      </c>
      <c r="AQ53" s="70" t="str">
        <f t="shared" si="76"/>
        <v>2</v>
      </c>
      <c r="AR53" s="74">
        <f t="shared" si="77"/>
        <v>0</v>
      </c>
      <c r="AS53" s="88">
        <v>0</v>
      </c>
      <c r="AT53" s="88">
        <v>3</v>
      </c>
      <c r="AU53" s="70" t="str">
        <f t="shared" si="78"/>
        <v>2</v>
      </c>
      <c r="AV53" s="74">
        <f t="shared" si="79"/>
        <v>0</v>
      </c>
      <c r="AW53" s="87">
        <v>0</v>
      </c>
      <c r="AX53" s="87">
        <v>3</v>
      </c>
      <c r="AY53" s="70" t="str">
        <f t="shared" si="80"/>
        <v>2</v>
      </c>
      <c r="AZ53" s="74">
        <f t="shared" si="81"/>
        <v>0</v>
      </c>
      <c r="BA53" s="91">
        <v>0</v>
      </c>
      <c r="BB53" s="91">
        <v>2</v>
      </c>
      <c r="BC53" s="70" t="str">
        <f t="shared" si="82"/>
        <v>2</v>
      </c>
      <c r="BD53" s="74">
        <f t="shared" si="83"/>
        <v>0</v>
      </c>
      <c r="BE53" s="87">
        <v>0</v>
      </c>
      <c r="BF53" s="87">
        <v>3</v>
      </c>
      <c r="BG53" s="70" t="str">
        <f t="shared" si="84"/>
        <v>2</v>
      </c>
      <c r="BH53" s="74">
        <f t="shared" si="85"/>
        <v>0</v>
      </c>
      <c r="BI53" s="87">
        <v>0</v>
      </c>
      <c r="BJ53" s="87">
        <v>3</v>
      </c>
      <c r="BK53" s="70" t="str">
        <f t="shared" si="86"/>
        <v>2</v>
      </c>
      <c r="BL53" s="74">
        <f t="shared" si="87"/>
        <v>0</v>
      </c>
      <c r="BM53" s="87">
        <v>0</v>
      </c>
      <c r="BN53" s="87">
        <v>2</v>
      </c>
      <c r="BO53" s="70" t="str">
        <f t="shared" si="88"/>
        <v>2</v>
      </c>
      <c r="BP53" s="74">
        <f t="shared" si="89"/>
        <v>0</v>
      </c>
      <c r="BQ53" s="87">
        <v>1</v>
      </c>
      <c r="BR53" s="87">
        <v>3</v>
      </c>
      <c r="BS53" s="70" t="str">
        <f t="shared" si="90"/>
        <v>2</v>
      </c>
      <c r="BT53" s="74">
        <f t="shared" si="91"/>
        <v>0</v>
      </c>
      <c r="BU53" s="87">
        <v>0</v>
      </c>
      <c r="BV53" s="87">
        <v>3</v>
      </c>
      <c r="BW53" s="70" t="str">
        <f t="shared" si="92"/>
        <v>2</v>
      </c>
      <c r="BX53" s="74">
        <f t="shared" si="93"/>
        <v>0</v>
      </c>
      <c r="BY53" s="87">
        <v>0</v>
      </c>
      <c r="BZ53" s="87">
        <v>4</v>
      </c>
      <c r="CA53" s="70" t="str">
        <f t="shared" si="94"/>
        <v>2</v>
      </c>
      <c r="CB53" s="74">
        <f t="shared" si="95"/>
        <v>0</v>
      </c>
      <c r="CC53" s="87">
        <v>0</v>
      </c>
      <c r="CD53" s="87">
        <v>5</v>
      </c>
      <c r="CE53" s="70" t="str">
        <f t="shared" si="96"/>
        <v>2</v>
      </c>
      <c r="CF53" s="74">
        <f t="shared" si="97"/>
        <v>0</v>
      </c>
      <c r="CG53" s="87">
        <v>0</v>
      </c>
      <c r="CH53" s="87">
        <v>2</v>
      </c>
      <c r="CI53" s="70" t="str">
        <f t="shared" si="98"/>
        <v>2</v>
      </c>
      <c r="CJ53" s="74">
        <f t="shared" si="99"/>
        <v>0</v>
      </c>
      <c r="CK53" s="88">
        <v>0</v>
      </c>
      <c r="CL53" s="88">
        <v>3</v>
      </c>
      <c r="CM53" s="70" t="str">
        <f t="shared" si="100"/>
        <v>2</v>
      </c>
      <c r="CN53" s="74">
        <f t="shared" si="101"/>
        <v>0</v>
      </c>
      <c r="CO53" s="87">
        <v>0</v>
      </c>
      <c r="CP53" s="87">
        <v>2</v>
      </c>
      <c r="CQ53" s="70" t="str">
        <f t="shared" si="102"/>
        <v>2</v>
      </c>
      <c r="CR53" s="74">
        <f t="shared" si="103"/>
        <v>0</v>
      </c>
      <c r="CS53" s="87">
        <v>0</v>
      </c>
      <c r="CT53" s="87">
        <v>3</v>
      </c>
      <c r="CU53" s="70" t="str">
        <f t="shared" si="104"/>
        <v>2</v>
      </c>
      <c r="CV53" s="74">
        <f t="shared" si="105"/>
        <v>0</v>
      </c>
      <c r="CW53" s="87">
        <v>0</v>
      </c>
      <c r="CX53" s="87">
        <v>2</v>
      </c>
      <c r="CY53" s="70" t="str">
        <f t="shared" si="106"/>
        <v>2</v>
      </c>
      <c r="CZ53" s="74">
        <f t="shared" si="107"/>
        <v>0</v>
      </c>
      <c r="DA53" s="87">
        <v>0</v>
      </c>
      <c r="DB53" s="87">
        <v>2</v>
      </c>
      <c r="DC53" s="70" t="str">
        <f t="shared" si="108"/>
        <v>2</v>
      </c>
      <c r="DD53" s="74">
        <f t="shared" si="109"/>
        <v>0</v>
      </c>
      <c r="DE53" s="87">
        <v>1</v>
      </c>
      <c r="DF53" s="87">
        <v>3</v>
      </c>
      <c r="DG53" s="70" t="str">
        <f t="shared" si="110"/>
        <v>2</v>
      </c>
      <c r="DH53" s="74">
        <f t="shared" si="111"/>
        <v>0</v>
      </c>
      <c r="DI53" s="87">
        <v>0</v>
      </c>
      <c r="DJ53" s="87">
        <v>5</v>
      </c>
      <c r="DK53" s="70" t="str">
        <f t="shared" si="112"/>
        <v>2</v>
      </c>
      <c r="DL53" s="74">
        <f t="shared" si="113"/>
        <v>0</v>
      </c>
      <c r="DM53" s="87">
        <v>1</v>
      </c>
      <c r="DN53" s="87">
        <v>2</v>
      </c>
      <c r="DO53" s="70" t="str">
        <f t="shared" si="56"/>
        <v>2</v>
      </c>
      <c r="DP53" s="74">
        <f t="shared" si="57"/>
        <v>0</v>
      </c>
    </row>
    <row r="54" spans="1:120" ht="16" customHeight="1" thickBot="1">
      <c r="A54" s="130">
        <v>44734</v>
      </c>
      <c r="B54" s="131" t="s">
        <v>115</v>
      </c>
      <c r="C54" s="85" t="s">
        <v>79</v>
      </c>
      <c r="D54" s="85" t="s">
        <v>81</v>
      </c>
      <c r="E54" s="84">
        <f t="shared" si="58"/>
        <v>0</v>
      </c>
      <c r="F54" s="23"/>
      <c r="G54" s="5"/>
      <c r="H54" s="77" t="b">
        <f t="shared" si="59"/>
        <v>0</v>
      </c>
      <c r="I54" s="87">
        <v>2</v>
      </c>
      <c r="J54" s="87">
        <v>0</v>
      </c>
      <c r="K54" s="70" t="str">
        <f t="shared" si="60"/>
        <v>1</v>
      </c>
      <c r="L54" s="74">
        <f t="shared" si="61"/>
        <v>0</v>
      </c>
      <c r="M54" s="87">
        <v>4</v>
      </c>
      <c r="N54" s="87">
        <v>0</v>
      </c>
      <c r="O54" s="70" t="str">
        <f t="shared" si="62"/>
        <v>1</v>
      </c>
      <c r="P54" s="74">
        <f t="shared" si="63"/>
        <v>0</v>
      </c>
      <c r="Q54" s="87">
        <v>2</v>
      </c>
      <c r="R54" s="87">
        <v>0</v>
      </c>
      <c r="S54" s="70" t="str">
        <f t="shared" si="64"/>
        <v>1</v>
      </c>
      <c r="T54" s="74">
        <f t="shared" si="65"/>
        <v>0</v>
      </c>
      <c r="U54" s="87">
        <v>3</v>
      </c>
      <c r="V54" s="87">
        <v>0</v>
      </c>
      <c r="W54" s="70" t="str">
        <f t="shared" si="66"/>
        <v>1</v>
      </c>
      <c r="X54" s="74">
        <f t="shared" si="67"/>
        <v>0</v>
      </c>
      <c r="Y54" s="87">
        <v>2</v>
      </c>
      <c r="Z54" s="87">
        <v>0</v>
      </c>
      <c r="AA54" s="70" t="str">
        <f t="shared" si="68"/>
        <v>1</v>
      </c>
      <c r="AB54" s="74">
        <f t="shared" si="69"/>
        <v>0</v>
      </c>
      <c r="AC54" s="87">
        <v>4</v>
      </c>
      <c r="AD54" s="87">
        <v>0</v>
      </c>
      <c r="AE54" s="70" t="str">
        <f t="shared" si="70"/>
        <v>1</v>
      </c>
      <c r="AF54" s="74">
        <f t="shared" si="71"/>
        <v>0</v>
      </c>
      <c r="AG54" s="87">
        <v>3</v>
      </c>
      <c r="AH54" s="87">
        <v>0</v>
      </c>
      <c r="AI54" s="70" t="str">
        <f t="shared" si="72"/>
        <v>1</v>
      </c>
      <c r="AJ54" s="74">
        <f t="shared" si="73"/>
        <v>0</v>
      </c>
      <c r="AK54" s="87">
        <v>4</v>
      </c>
      <c r="AL54" s="87">
        <v>0</v>
      </c>
      <c r="AM54" s="70" t="str">
        <f t="shared" si="74"/>
        <v>1</v>
      </c>
      <c r="AN54" s="74">
        <f t="shared" si="75"/>
        <v>0</v>
      </c>
      <c r="AO54" s="87">
        <v>4</v>
      </c>
      <c r="AP54" s="87">
        <v>0</v>
      </c>
      <c r="AQ54" s="70" t="str">
        <f t="shared" si="76"/>
        <v>1</v>
      </c>
      <c r="AR54" s="74">
        <f t="shared" si="77"/>
        <v>0</v>
      </c>
      <c r="AS54" s="88">
        <v>5</v>
      </c>
      <c r="AT54" s="88">
        <v>0</v>
      </c>
      <c r="AU54" s="70" t="str">
        <f t="shared" si="78"/>
        <v>1</v>
      </c>
      <c r="AV54" s="74">
        <f t="shared" si="79"/>
        <v>0</v>
      </c>
      <c r="AW54" s="87">
        <v>3</v>
      </c>
      <c r="AX54" s="87">
        <v>0</v>
      </c>
      <c r="AY54" s="70" t="str">
        <f t="shared" si="80"/>
        <v>1</v>
      </c>
      <c r="AZ54" s="74">
        <f t="shared" si="81"/>
        <v>0</v>
      </c>
      <c r="BA54" s="91">
        <v>2</v>
      </c>
      <c r="BB54" s="91">
        <v>0</v>
      </c>
      <c r="BC54" s="70" t="str">
        <f t="shared" si="82"/>
        <v>1</v>
      </c>
      <c r="BD54" s="74">
        <f t="shared" si="83"/>
        <v>0</v>
      </c>
      <c r="BE54" s="87">
        <v>3</v>
      </c>
      <c r="BF54" s="87">
        <v>1</v>
      </c>
      <c r="BG54" s="70" t="str">
        <f t="shared" si="84"/>
        <v>1</v>
      </c>
      <c r="BH54" s="74">
        <f t="shared" si="85"/>
        <v>0</v>
      </c>
      <c r="BI54" s="87">
        <v>3</v>
      </c>
      <c r="BJ54" s="87">
        <v>0</v>
      </c>
      <c r="BK54" s="70" t="str">
        <f t="shared" si="86"/>
        <v>1</v>
      </c>
      <c r="BL54" s="74">
        <f t="shared" si="87"/>
        <v>0</v>
      </c>
      <c r="BM54" s="87">
        <v>3</v>
      </c>
      <c r="BN54" s="87">
        <v>0</v>
      </c>
      <c r="BO54" s="70" t="str">
        <f t="shared" si="88"/>
        <v>1</v>
      </c>
      <c r="BP54" s="74">
        <f t="shared" si="89"/>
        <v>0</v>
      </c>
      <c r="BQ54" s="87">
        <v>3</v>
      </c>
      <c r="BR54" s="87">
        <v>1</v>
      </c>
      <c r="BS54" s="70" t="str">
        <f t="shared" si="90"/>
        <v>1</v>
      </c>
      <c r="BT54" s="74">
        <f t="shared" si="91"/>
        <v>0</v>
      </c>
      <c r="BU54" s="87">
        <v>4</v>
      </c>
      <c r="BV54" s="87">
        <v>0</v>
      </c>
      <c r="BW54" s="70" t="str">
        <f t="shared" si="92"/>
        <v>1</v>
      </c>
      <c r="BX54" s="74">
        <f t="shared" si="93"/>
        <v>0</v>
      </c>
      <c r="BY54" s="87">
        <v>5</v>
      </c>
      <c r="BZ54" s="87">
        <v>0</v>
      </c>
      <c r="CA54" s="70" t="str">
        <f t="shared" si="94"/>
        <v>1</v>
      </c>
      <c r="CB54" s="74">
        <f t="shared" si="95"/>
        <v>0</v>
      </c>
      <c r="CC54" s="87">
        <v>3</v>
      </c>
      <c r="CD54" s="87">
        <v>0</v>
      </c>
      <c r="CE54" s="70" t="str">
        <f t="shared" si="96"/>
        <v>1</v>
      </c>
      <c r="CF54" s="74">
        <f t="shared" si="97"/>
        <v>0</v>
      </c>
      <c r="CG54" s="87">
        <v>3</v>
      </c>
      <c r="CH54" s="87">
        <v>0</v>
      </c>
      <c r="CI54" s="70" t="str">
        <f t="shared" si="98"/>
        <v>1</v>
      </c>
      <c r="CJ54" s="74">
        <f t="shared" si="99"/>
        <v>0</v>
      </c>
      <c r="CK54" s="88">
        <v>4</v>
      </c>
      <c r="CL54" s="88">
        <v>0</v>
      </c>
      <c r="CM54" s="70" t="str">
        <f t="shared" si="100"/>
        <v>1</v>
      </c>
      <c r="CN54" s="74">
        <f t="shared" si="101"/>
        <v>0</v>
      </c>
      <c r="CO54" s="87">
        <v>3</v>
      </c>
      <c r="CP54" s="87">
        <v>0</v>
      </c>
      <c r="CQ54" s="70" t="str">
        <f t="shared" si="102"/>
        <v>1</v>
      </c>
      <c r="CR54" s="74">
        <f t="shared" si="103"/>
        <v>0</v>
      </c>
      <c r="CS54" s="87">
        <v>3</v>
      </c>
      <c r="CT54" s="87">
        <v>0</v>
      </c>
      <c r="CU54" s="70" t="str">
        <f t="shared" si="104"/>
        <v>1</v>
      </c>
      <c r="CV54" s="74">
        <f t="shared" si="105"/>
        <v>0</v>
      </c>
      <c r="CW54" s="87">
        <v>3</v>
      </c>
      <c r="CX54" s="87">
        <v>0</v>
      </c>
      <c r="CY54" s="70" t="str">
        <f t="shared" si="106"/>
        <v>1</v>
      </c>
      <c r="CZ54" s="74">
        <f t="shared" si="107"/>
        <v>0</v>
      </c>
      <c r="DA54" s="87">
        <v>3</v>
      </c>
      <c r="DB54" s="87">
        <v>0</v>
      </c>
      <c r="DC54" s="70" t="str">
        <f t="shared" si="108"/>
        <v>1</v>
      </c>
      <c r="DD54" s="74">
        <f t="shared" si="109"/>
        <v>0</v>
      </c>
      <c r="DE54" s="87">
        <v>4</v>
      </c>
      <c r="DF54" s="87">
        <v>0</v>
      </c>
      <c r="DG54" s="70" t="str">
        <f t="shared" si="110"/>
        <v>1</v>
      </c>
      <c r="DH54" s="74">
        <f t="shared" si="111"/>
        <v>0</v>
      </c>
      <c r="DI54" s="87">
        <v>4</v>
      </c>
      <c r="DJ54" s="87">
        <v>0</v>
      </c>
      <c r="DK54" s="70" t="str">
        <f t="shared" si="112"/>
        <v>1</v>
      </c>
      <c r="DL54" s="74">
        <f t="shared" si="113"/>
        <v>0</v>
      </c>
      <c r="DM54" s="87">
        <v>3</v>
      </c>
      <c r="DN54" s="87">
        <v>0</v>
      </c>
      <c r="DO54" s="70" t="str">
        <f t="shared" si="56"/>
        <v>1</v>
      </c>
      <c r="DP54" s="74">
        <f t="shared" si="57"/>
        <v>0</v>
      </c>
    </row>
    <row r="55" spans="1:120" ht="16" customHeight="1" thickBot="1">
      <c r="A55" s="130">
        <v>44734</v>
      </c>
      <c r="B55" s="131" t="s">
        <v>114</v>
      </c>
      <c r="C55" s="85" t="s">
        <v>82</v>
      </c>
      <c r="D55" s="85" t="s">
        <v>80</v>
      </c>
      <c r="E55" s="84">
        <f t="shared" si="58"/>
        <v>0</v>
      </c>
      <c r="F55" s="23"/>
      <c r="G55" s="5"/>
      <c r="H55" s="77" t="b">
        <f t="shared" si="59"/>
        <v>0</v>
      </c>
      <c r="I55" s="87">
        <v>1</v>
      </c>
      <c r="J55" s="87">
        <v>1</v>
      </c>
      <c r="K55" s="70" t="str">
        <f t="shared" si="60"/>
        <v>X</v>
      </c>
      <c r="L55" s="74">
        <f t="shared" si="61"/>
        <v>0</v>
      </c>
      <c r="M55" s="87">
        <v>1</v>
      </c>
      <c r="N55" s="87">
        <v>1</v>
      </c>
      <c r="O55" s="70" t="str">
        <f t="shared" si="62"/>
        <v>X</v>
      </c>
      <c r="P55" s="74">
        <f t="shared" si="63"/>
        <v>0</v>
      </c>
      <c r="Q55" s="87">
        <v>2</v>
      </c>
      <c r="R55" s="87">
        <v>1</v>
      </c>
      <c r="S55" s="70" t="str">
        <f t="shared" si="64"/>
        <v>1</v>
      </c>
      <c r="T55" s="74">
        <f t="shared" si="65"/>
        <v>0</v>
      </c>
      <c r="U55" s="87">
        <v>1</v>
      </c>
      <c r="V55" s="87">
        <v>1</v>
      </c>
      <c r="W55" s="70" t="str">
        <f t="shared" si="66"/>
        <v>X</v>
      </c>
      <c r="X55" s="74">
        <f t="shared" si="67"/>
        <v>0</v>
      </c>
      <c r="Y55" s="87">
        <v>2</v>
      </c>
      <c r="Z55" s="87">
        <v>1</v>
      </c>
      <c r="AA55" s="70" t="str">
        <f t="shared" si="68"/>
        <v>1</v>
      </c>
      <c r="AB55" s="74">
        <f t="shared" si="69"/>
        <v>0</v>
      </c>
      <c r="AC55" s="87">
        <v>2</v>
      </c>
      <c r="AD55" s="87">
        <v>1</v>
      </c>
      <c r="AE55" s="70" t="str">
        <f t="shared" si="70"/>
        <v>1</v>
      </c>
      <c r="AF55" s="74">
        <f t="shared" si="71"/>
        <v>0</v>
      </c>
      <c r="AG55" s="87">
        <v>2</v>
      </c>
      <c r="AH55" s="87">
        <v>0</v>
      </c>
      <c r="AI55" s="70" t="str">
        <f t="shared" si="72"/>
        <v>1</v>
      </c>
      <c r="AJ55" s="74">
        <f t="shared" si="73"/>
        <v>0</v>
      </c>
      <c r="AK55" s="87">
        <v>2</v>
      </c>
      <c r="AL55" s="87">
        <v>1</v>
      </c>
      <c r="AM55" s="70" t="str">
        <f t="shared" si="74"/>
        <v>1</v>
      </c>
      <c r="AN55" s="74">
        <f t="shared" si="75"/>
        <v>0</v>
      </c>
      <c r="AO55" s="87">
        <v>3</v>
      </c>
      <c r="AP55" s="87">
        <v>0</v>
      </c>
      <c r="AQ55" s="70" t="str">
        <f t="shared" si="76"/>
        <v>1</v>
      </c>
      <c r="AR55" s="74">
        <f t="shared" si="77"/>
        <v>0</v>
      </c>
      <c r="AS55" s="88">
        <v>1</v>
      </c>
      <c r="AT55" s="88">
        <v>1</v>
      </c>
      <c r="AU55" s="70" t="str">
        <f t="shared" si="78"/>
        <v>X</v>
      </c>
      <c r="AV55" s="74">
        <f t="shared" si="79"/>
        <v>0</v>
      </c>
      <c r="AW55" s="87">
        <v>3</v>
      </c>
      <c r="AX55" s="87">
        <v>0</v>
      </c>
      <c r="AY55" s="70" t="str">
        <f t="shared" si="80"/>
        <v>1</v>
      </c>
      <c r="AZ55" s="74">
        <f t="shared" si="81"/>
        <v>0</v>
      </c>
      <c r="BA55" s="91">
        <v>1</v>
      </c>
      <c r="BB55" s="91">
        <v>1</v>
      </c>
      <c r="BC55" s="70" t="str">
        <f t="shared" si="82"/>
        <v>X</v>
      </c>
      <c r="BD55" s="74">
        <f t="shared" si="83"/>
        <v>0</v>
      </c>
      <c r="BE55" s="87">
        <v>1</v>
      </c>
      <c r="BF55" s="87">
        <v>2</v>
      </c>
      <c r="BG55" s="70" t="str">
        <f t="shared" si="84"/>
        <v>2</v>
      </c>
      <c r="BH55" s="74">
        <f t="shared" si="85"/>
        <v>0</v>
      </c>
      <c r="BI55" s="87">
        <v>2</v>
      </c>
      <c r="BJ55" s="87">
        <v>1</v>
      </c>
      <c r="BK55" s="70" t="str">
        <f t="shared" si="86"/>
        <v>1</v>
      </c>
      <c r="BL55" s="74">
        <f t="shared" si="87"/>
        <v>0</v>
      </c>
      <c r="BM55" s="87">
        <v>1</v>
      </c>
      <c r="BN55" s="87">
        <v>0</v>
      </c>
      <c r="BO55" s="70" t="str">
        <f t="shared" si="88"/>
        <v>1</v>
      </c>
      <c r="BP55" s="74">
        <f t="shared" si="89"/>
        <v>0</v>
      </c>
      <c r="BQ55" s="87">
        <v>2</v>
      </c>
      <c r="BR55" s="87">
        <v>1</v>
      </c>
      <c r="BS55" s="70" t="str">
        <f t="shared" si="90"/>
        <v>1</v>
      </c>
      <c r="BT55" s="74">
        <f t="shared" si="91"/>
        <v>0</v>
      </c>
      <c r="BU55" s="87">
        <v>1</v>
      </c>
      <c r="BV55" s="87">
        <v>2</v>
      </c>
      <c r="BW55" s="70" t="str">
        <f t="shared" si="92"/>
        <v>2</v>
      </c>
      <c r="BX55" s="74">
        <f t="shared" si="93"/>
        <v>0</v>
      </c>
      <c r="BY55" s="87">
        <v>2</v>
      </c>
      <c r="BZ55" s="87">
        <v>1</v>
      </c>
      <c r="CA55" s="70" t="str">
        <f t="shared" si="94"/>
        <v>1</v>
      </c>
      <c r="CB55" s="74">
        <f t="shared" si="95"/>
        <v>0</v>
      </c>
      <c r="CC55" s="87">
        <v>3</v>
      </c>
      <c r="CD55" s="87">
        <v>1</v>
      </c>
      <c r="CE55" s="70" t="str">
        <f t="shared" si="96"/>
        <v>1</v>
      </c>
      <c r="CF55" s="74">
        <f t="shared" si="97"/>
        <v>0</v>
      </c>
      <c r="CG55" s="87">
        <v>1</v>
      </c>
      <c r="CH55" s="87">
        <v>1</v>
      </c>
      <c r="CI55" s="70" t="str">
        <f t="shared" si="98"/>
        <v>X</v>
      </c>
      <c r="CJ55" s="74">
        <f t="shared" si="99"/>
        <v>0</v>
      </c>
      <c r="CK55" s="88">
        <v>4</v>
      </c>
      <c r="CL55" s="88">
        <v>1</v>
      </c>
      <c r="CM55" s="70" t="str">
        <f t="shared" si="100"/>
        <v>1</v>
      </c>
      <c r="CN55" s="74">
        <f t="shared" si="101"/>
        <v>0</v>
      </c>
      <c r="CO55" s="87">
        <v>2</v>
      </c>
      <c r="CP55" s="87">
        <v>0</v>
      </c>
      <c r="CQ55" s="70" t="str">
        <f t="shared" si="102"/>
        <v>1</v>
      </c>
      <c r="CR55" s="74">
        <f t="shared" si="103"/>
        <v>0</v>
      </c>
      <c r="CS55" s="87">
        <v>1</v>
      </c>
      <c r="CT55" s="87">
        <v>1</v>
      </c>
      <c r="CU55" s="70" t="str">
        <f t="shared" si="104"/>
        <v>X</v>
      </c>
      <c r="CV55" s="74">
        <f t="shared" si="105"/>
        <v>0</v>
      </c>
      <c r="CW55" s="87">
        <v>1</v>
      </c>
      <c r="CX55" s="87">
        <v>1</v>
      </c>
      <c r="CY55" s="70" t="str">
        <f t="shared" si="106"/>
        <v>X</v>
      </c>
      <c r="CZ55" s="74">
        <f t="shared" si="107"/>
        <v>0</v>
      </c>
      <c r="DA55" s="87">
        <v>1</v>
      </c>
      <c r="DB55" s="87">
        <v>1</v>
      </c>
      <c r="DC55" s="70" t="str">
        <f t="shared" si="108"/>
        <v>X</v>
      </c>
      <c r="DD55" s="74">
        <f t="shared" si="109"/>
        <v>0</v>
      </c>
      <c r="DE55" s="87">
        <v>2</v>
      </c>
      <c r="DF55" s="87">
        <v>1</v>
      </c>
      <c r="DG55" s="70" t="str">
        <f t="shared" si="110"/>
        <v>1</v>
      </c>
      <c r="DH55" s="74">
        <f t="shared" si="111"/>
        <v>0</v>
      </c>
      <c r="DI55" s="87">
        <v>2</v>
      </c>
      <c r="DJ55" s="87">
        <v>2</v>
      </c>
      <c r="DK55" s="70" t="str">
        <f t="shared" si="112"/>
        <v>X</v>
      </c>
      <c r="DL55" s="74">
        <f t="shared" si="113"/>
        <v>0</v>
      </c>
      <c r="DM55" s="87">
        <v>2</v>
      </c>
      <c r="DN55" s="87">
        <v>1</v>
      </c>
      <c r="DO55" s="70" t="str">
        <f t="shared" si="56"/>
        <v>1</v>
      </c>
      <c r="DP55" s="74">
        <f t="shared" si="57"/>
        <v>0</v>
      </c>
    </row>
    <row r="56" spans="1:120" ht="16" customHeight="1" thickBot="1">
      <c r="A56" s="130">
        <v>44737</v>
      </c>
      <c r="B56" s="131" t="s">
        <v>103</v>
      </c>
      <c r="C56" s="85" t="s">
        <v>82</v>
      </c>
      <c r="D56" s="85" t="s">
        <v>79</v>
      </c>
      <c r="E56" s="84">
        <f t="shared" si="58"/>
        <v>0</v>
      </c>
      <c r="F56" s="23"/>
      <c r="G56" s="5"/>
      <c r="H56" s="77" t="b">
        <f t="shared" si="59"/>
        <v>0</v>
      </c>
      <c r="I56" s="87"/>
      <c r="J56" s="87"/>
      <c r="K56" s="70" t="str">
        <f t="shared" si="60"/>
        <v>X</v>
      </c>
      <c r="L56" s="74">
        <f t="shared" si="61"/>
        <v>0</v>
      </c>
      <c r="M56" s="87"/>
      <c r="N56" s="87"/>
      <c r="O56" s="70" t="str">
        <f t="shared" si="62"/>
        <v>X</v>
      </c>
      <c r="P56" s="74">
        <f t="shared" si="63"/>
        <v>0</v>
      </c>
      <c r="Q56" s="87"/>
      <c r="R56" s="87"/>
      <c r="S56" s="70" t="str">
        <f t="shared" si="64"/>
        <v>X</v>
      </c>
      <c r="T56" s="74">
        <f t="shared" si="65"/>
        <v>0</v>
      </c>
      <c r="U56" s="87"/>
      <c r="V56" s="87"/>
      <c r="W56" s="70" t="str">
        <f t="shared" si="66"/>
        <v>X</v>
      </c>
      <c r="X56" s="74">
        <f t="shared" si="67"/>
        <v>0</v>
      </c>
      <c r="Y56" s="87"/>
      <c r="Z56" s="87"/>
      <c r="AA56" s="70" t="str">
        <f t="shared" si="68"/>
        <v>X</v>
      </c>
      <c r="AB56" s="74">
        <f t="shared" si="69"/>
        <v>0</v>
      </c>
      <c r="AC56" s="87"/>
      <c r="AD56" s="87"/>
      <c r="AE56" s="70" t="str">
        <f t="shared" si="70"/>
        <v>X</v>
      </c>
      <c r="AF56" s="74">
        <f t="shared" si="71"/>
        <v>0</v>
      </c>
      <c r="AG56" s="87"/>
      <c r="AH56" s="87"/>
      <c r="AI56" s="70" t="str">
        <f t="shared" si="72"/>
        <v>X</v>
      </c>
      <c r="AJ56" s="74">
        <f t="shared" si="73"/>
        <v>0</v>
      </c>
      <c r="AK56" s="87"/>
      <c r="AL56" s="87"/>
      <c r="AM56" s="70" t="str">
        <f t="shared" si="74"/>
        <v>X</v>
      </c>
      <c r="AN56" s="74">
        <f t="shared" si="75"/>
        <v>0</v>
      </c>
      <c r="AO56" s="87"/>
      <c r="AP56" s="87"/>
      <c r="AQ56" s="70" t="str">
        <f t="shared" si="76"/>
        <v>X</v>
      </c>
      <c r="AR56" s="74">
        <f t="shared" si="77"/>
        <v>0</v>
      </c>
      <c r="AS56" s="88"/>
      <c r="AT56" s="88"/>
      <c r="AU56" s="70" t="str">
        <f t="shared" si="78"/>
        <v>X</v>
      </c>
      <c r="AV56" s="74">
        <f t="shared" si="79"/>
        <v>0</v>
      </c>
      <c r="AW56" s="87"/>
      <c r="AX56" s="87"/>
      <c r="AY56" s="70" t="str">
        <f t="shared" si="80"/>
        <v>X</v>
      </c>
      <c r="AZ56" s="74">
        <f t="shared" si="81"/>
        <v>0</v>
      </c>
      <c r="BA56" s="91"/>
      <c r="BB56" s="91"/>
      <c r="BC56" s="70" t="str">
        <f t="shared" si="82"/>
        <v>X</v>
      </c>
      <c r="BD56" s="74">
        <f t="shared" si="83"/>
        <v>0</v>
      </c>
      <c r="BE56" s="87"/>
      <c r="BF56" s="87"/>
      <c r="BG56" s="70" t="str">
        <f t="shared" si="84"/>
        <v>X</v>
      </c>
      <c r="BH56" s="74">
        <f t="shared" si="85"/>
        <v>0</v>
      </c>
      <c r="BI56" s="87"/>
      <c r="BJ56" s="87"/>
      <c r="BK56" s="70" t="str">
        <f t="shared" si="86"/>
        <v>X</v>
      </c>
      <c r="BL56" s="74">
        <f t="shared" si="87"/>
        <v>0</v>
      </c>
      <c r="BM56" s="87"/>
      <c r="BN56" s="87"/>
      <c r="BO56" s="70" t="str">
        <f t="shared" si="88"/>
        <v>X</v>
      </c>
      <c r="BP56" s="74">
        <f t="shared" si="89"/>
        <v>0</v>
      </c>
      <c r="BQ56" s="87"/>
      <c r="BR56" s="87"/>
      <c r="BS56" s="70" t="str">
        <f t="shared" si="90"/>
        <v>X</v>
      </c>
      <c r="BT56" s="74">
        <f t="shared" si="91"/>
        <v>0</v>
      </c>
      <c r="BU56" s="87"/>
      <c r="BV56" s="87"/>
      <c r="BW56" s="70" t="str">
        <f t="shared" si="92"/>
        <v>X</v>
      </c>
      <c r="BX56" s="74">
        <f t="shared" si="93"/>
        <v>0</v>
      </c>
      <c r="BY56" s="87"/>
      <c r="BZ56" s="87"/>
      <c r="CA56" s="70" t="str">
        <f t="shared" si="94"/>
        <v>X</v>
      </c>
      <c r="CB56" s="74">
        <f t="shared" si="95"/>
        <v>0</v>
      </c>
      <c r="CC56" s="87"/>
      <c r="CD56" s="87"/>
      <c r="CE56" s="70" t="str">
        <f t="shared" si="96"/>
        <v>X</v>
      </c>
      <c r="CF56" s="74">
        <f t="shared" si="97"/>
        <v>0</v>
      </c>
      <c r="CG56" s="87"/>
      <c r="CH56" s="87"/>
      <c r="CI56" s="70" t="str">
        <f t="shared" si="98"/>
        <v>X</v>
      </c>
      <c r="CJ56" s="74">
        <f t="shared" si="99"/>
        <v>0</v>
      </c>
      <c r="CK56" s="88"/>
      <c r="CL56" s="88"/>
      <c r="CM56" s="70" t="str">
        <f t="shared" si="100"/>
        <v>X</v>
      </c>
      <c r="CN56" s="74">
        <f t="shared" si="101"/>
        <v>0</v>
      </c>
      <c r="CO56" s="87"/>
      <c r="CP56" s="87"/>
      <c r="CQ56" s="70" t="str">
        <f t="shared" si="102"/>
        <v>X</v>
      </c>
      <c r="CR56" s="74">
        <f t="shared" si="103"/>
        <v>0</v>
      </c>
      <c r="CS56" s="87"/>
      <c r="CT56" s="87"/>
      <c r="CU56" s="70" t="str">
        <f t="shared" si="104"/>
        <v>X</v>
      </c>
      <c r="CV56" s="74">
        <f t="shared" si="105"/>
        <v>0</v>
      </c>
      <c r="CW56" s="87"/>
      <c r="CX56" s="87"/>
      <c r="CY56" s="70" t="str">
        <f t="shared" si="106"/>
        <v>X</v>
      </c>
      <c r="CZ56" s="74">
        <f t="shared" si="107"/>
        <v>0</v>
      </c>
      <c r="DA56" s="87"/>
      <c r="DB56" s="87"/>
      <c r="DC56" s="70" t="str">
        <f t="shared" si="108"/>
        <v>X</v>
      </c>
      <c r="DD56" s="74">
        <f t="shared" si="109"/>
        <v>0</v>
      </c>
      <c r="DE56" s="87"/>
      <c r="DF56" s="87"/>
      <c r="DG56" s="70" t="str">
        <f t="shared" si="110"/>
        <v>X</v>
      </c>
      <c r="DH56" s="74">
        <f t="shared" si="111"/>
        <v>0</v>
      </c>
      <c r="DI56" s="87"/>
      <c r="DJ56" s="87"/>
      <c r="DK56" s="70" t="str">
        <f t="shared" si="112"/>
        <v>X</v>
      </c>
      <c r="DL56" s="74">
        <f t="shared" si="113"/>
        <v>0</v>
      </c>
      <c r="DM56" s="87"/>
      <c r="DN56" s="87"/>
      <c r="DO56" s="70" t="str">
        <f t="shared" si="56"/>
        <v>X</v>
      </c>
      <c r="DP56" s="74">
        <f t="shared" si="57"/>
        <v>0</v>
      </c>
    </row>
    <row r="57" spans="1:120" ht="16" customHeight="1" thickBot="1">
      <c r="A57" s="130">
        <v>44737</v>
      </c>
      <c r="B57" s="131" t="s">
        <v>103</v>
      </c>
      <c r="C57" s="85" t="s">
        <v>80</v>
      </c>
      <c r="D57" s="85" t="s">
        <v>81</v>
      </c>
      <c r="E57" s="84">
        <f t="shared" si="58"/>
        <v>0</v>
      </c>
      <c r="F57" s="23"/>
      <c r="G57" s="5"/>
      <c r="H57" s="77" t="b">
        <f t="shared" si="59"/>
        <v>0</v>
      </c>
      <c r="I57" s="87"/>
      <c r="J57" s="87"/>
      <c r="K57" s="70" t="str">
        <f t="shared" si="60"/>
        <v>X</v>
      </c>
      <c r="L57" s="74">
        <f t="shared" si="61"/>
        <v>0</v>
      </c>
      <c r="M57" s="87"/>
      <c r="N57" s="87"/>
      <c r="O57" s="70" t="str">
        <f t="shared" si="62"/>
        <v>X</v>
      </c>
      <c r="P57" s="74">
        <f t="shared" si="63"/>
        <v>0</v>
      </c>
      <c r="Q57" s="87"/>
      <c r="R57" s="87"/>
      <c r="S57" s="70" t="str">
        <f t="shared" si="64"/>
        <v>X</v>
      </c>
      <c r="T57" s="74">
        <f t="shared" si="65"/>
        <v>0</v>
      </c>
      <c r="U57" s="87"/>
      <c r="V57" s="87"/>
      <c r="W57" s="70" t="str">
        <f t="shared" si="66"/>
        <v>X</v>
      </c>
      <c r="X57" s="74">
        <f t="shared" si="67"/>
        <v>0</v>
      </c>
      <c r="Y57" s="87"/>
      <c r="Z57" s="87"/>
      <c r="AA57" s="70" t="str">
        <f t="shared" si="68"/>
        <v>X</v>
      </c>
      <c r="AB57" s="74">
        <f t="shared" si="69"/>
        <v>0</v>
      </c>
      <c r="AC57" s="87"/>
      <c r="AD57" s="87"/>
      <c r="AE57" s="70" t="str">
        <f t="shared" si="70"/>
        <v>X</v>
      </c>
      <c r="AF57" s="74">
        <f t="shared" si="71"/>
        <v>0</v>
      </c>
      <c r="AG57" s="87"/>
      <c r="AH57" s="87"/>
      <c r="AI57" s="70" t="str">
        <f t="shared" si="72"/>
        <v>X</v>
      </c>
      <c r="AJ57" s="74">
        <f t="shared" si="73"/>
        <v>0</v>
      </c>
      <c r="AK57" s="87"/>
      <c r="AL57" s="87"/>
      <c r="AM57" s="70" t="str">
        <f t="shared" si="74"/>
        <v>X</v>
      </c>
      <c r="AN57" s="74">
        <f t="shared" si="75"/>
        <v>0</v>
      </c>
      <c r="AO57" s="87"/>
      <c r="AP57" s="87"/>
      <c r="AQ57" s="70" t="str">
        <f t="shared" si="76"/>
        <v>X</v>
      </c>
      <c r="AR57" s="74">
        <f t="shared" si="77"/>
        <v>0</v>
      </c>
      <c r="AS57" s="88"/>
      <c r="AT57" s="88"/>
      <c r="AU57" s="70" t="str">
        <f t="shared" si="78"/>
        <v>X</v>
      </c>
      <c r="AV57" s="74">
        <f t="shared" si="79"/>
        <v>0</v>
      </c>
      <c r="AW57" s="87"/>
      <c r="AX57" s="87"/>
      <c r="AY57" s="70" t="str">
        <f t="shared" si="80"/>
        <v>X</v>
      </c>
      <c r="AZ57" s="74">
        <f t="shared" si="81"/>
        <v>0</v>
      </c>
      <c r="BA57" s="91"/>
      <c r="BB57" s="91"/>
      <c r="BC57" s="70" t="str">
        <f t="shared" si="82"/>
        <v>X</v>
      </c>
      <c r="BD57" s="74">
        <f t="shared" si="83"/>
        <v>0</v>
      </c>
      <c r="BE57" s="87"/>
      <c r="BF57" s="87"/>
      <c r="BG57" s="70" t="str">
        <f t="shared" si="84"/>
        <v>X</v>
      </c>
      <c r="BH57" s="74">
        <f t="shared" si="85"/>
        <v>0</v>
      </c>
      <c r="BI57" s="87"/>
      <c r="BJ57" s="87"/>
      <c r="BK57" s="70" t="str">
        <f t="shared" si="86"/>
        <v>X</v>
      </c>
      <c r="BL57" s="74">
        <f t="shared" si="87"/>
        <v>0</v>
      </c>
      <c r="BM57" s="87"/>
      <c r="BN57" s="87"/>
      <c r="BO57" s="70" t="str">
        <f t="shared" si="88"/>
        <v>X</v>
      </c>
      <c r="BP57" s="74">
        <f t="shared" si="89"/>
        <v>0</v>
      </c>
      <c r="BQ57" s="87"/>
      <c r="BR57" s="87"/>
      <c r="BS57" s="70" t="str">
        <f t="shared" si="90"/>
        <v>X</v>
      </c>
      <c r="BT57" s="74">
        <f t="shared" si="91"/>
        <v>0</v>
      </c>
      <c r="BU57" s="87"/>
      <c r="BV57" s="87"/>
      <c r="BW57" s="70" t="str">
        <f t="shared" si="92"/>
        <v>X</v>
      </c>
      <c r="BX57" s="74">
        <f t="shared" si="93"/>
        <v>0</v>
      </c>
      <c r="BY57" s="87"/>
      <c r="BZ57" s="87"/>
      <c r="CA57" s="70" t="str">
        <f t="shared" si="94"/>
        <v>X</v>
      </c>
      <c r="CB57" s="74">
        <f t="shared" si="95"/>
        <v>0</v>
      </c>
      <c r="CC57" s="87"/>
      <c r="CD57" s="87"/>
      <c r="CE57" s="70" t="str">
        <f t="shared" si="96"/>
        <v>X</v>
      </c>
      <c r="CF57" s="74">
        <f t="shared" si="97"/>
        <v>0</v>
      </c>
      <c r="CG57" s="87"/>
      <c r="CH57" s="87"/>
      <c r="CI57" s="70" t="str">
        <f t="shared" si="98"/>
        <v>X</v>
      </c>
      <c r="CJ57" s="74">
        <f t="shared" si="99"/>
        <v>0</v>
      </c>
      <c r="CK57" s="88"/>
      <c r="CL57" s="88"/>
      <c r="CM57" s="70" t="str">
        <f t="shared" si="100"/>
        <v>X</v>
      </c>
      <c r="CN57" s="74">
        <f t="shared" si="101"/>
        <v>0</v>
      </c>
      <c r="CO57" s="87"/>
      <c r="CP57" s="87"/>
      <c r="CQ57" s="70" t="str">
        <f t="shared" si="102"/>
        <v>X</v>
      </c>
      <c r="CR57" s="74">
        <f t="shared" si="103"/>
        <v>0</v>
      </c>
      <c r="CS57" s="87"/>
      <c r="CT57" s="87"/>
      <c r="CU57" s="70" t="str">
        <f t="shared" si="104"/>
        <v>X</v>
      </c>
      <c r="CV57" s="74">
        <f t="shared" si="105"/>
        <v>0</v>
      </c>
      <c r="CW57" s="87"/>
      <c r="CX57" s="87"/>
      <c r="CY57" s="70" t="str">
        <f t="shared" si="106"/>
        <v>X</v>
      </c>
      <c r="CZ57" s="74">
        <f t="shared" si="107"/>
        <v>0</v>
      </c>
      <c r="DA57" s="87"/>
      <c r="DB57" s="87"/>
      <c r="DC57" s="70" t="str">
        <f t="shared" si="108"/>
        <v>X</v>
      </c>
      <c r="DD57" s="74">
        <f t="shared" si="109"/>
        <v>0</v>
      </c>
      <c r="DE57" s="87"/>
      <c r="DF57" s="87"/>
      <c r="DG57" s="70" t="str">
        <f t="shared" si="110"/>
        <v>X</v>
      </c>
      <c r="DH57" s="74">
        <f t="shared" si="111"/>
        <v>0</v>
      </c>
      <c r="DI57" s="87"/>
      <c r="DJ57" s="87"/>
      <c r="DK57" s="70" t="str">
        <f t="shared" si="112"/>
        <v>X</v>
      </c>
      <c r="DL57" s="74">
        <f t="shared" si="113"/>
        <v>0</v>
      </c>
      <c r="DM57" s="87"/>
      <c r="DN57" s="87"/>
      <c r="DO57" s="70" t="str">
        <f t="shared" si="56"/>
        <v>X</v>
      </c>
      <c r="DP57" s="74">
        <f t="shared" si="57"/>
        <v>0</v>
      </c>
    </row>
    <row r="58" spans="1:120" ht="16" customHeight="1" thickBot="1">
      <c r="A58" s="130">
        <v>44728</v>
      </c>
      <c r="B58" s="131" t="s">
        <v>106</v>
      </c>
      <c r="C58" s="85" t="s">
        <v>83</v>
      </c>
      <c r="D58" s="85" t="s">
        <v>84</v>
      </c>
      <c r="E58" s="84">
        <f t="shared" si="58"/>
        <v>0</v>
      </c>
      <c r="F58" s="23"/>
      <c r="G58" s="5"/>
      <c r="H58" s="77" t="b">
        <f t="shared" si="59"/>
        <v>0</v>
      </c>
      <c r="I58" s="87">
        <v>2</v>
      </c>
      <c r="J58" s="87">
        <v>1</v>
      </c>
      <c r="K58" s="70" t="str">
        <f t="shared" si="60"/>
        <v>1</v>
      </c>
      <c r="L58" s="74">
        <f t="shared" si="61"/>
        <v>0</v>
      </c>
      <c r="M58" s="87">
        <v>2</v>
      </c>
      <c r="N58" s="87">
        <v>0</v>
      </c>
      <c r="O58" s="70" t="str">
        <f t="shared" si="62"/>
        <v>1</v>
      </c>
      <c r="P58" s="74">
        <f t="shared" si="63"/>
        <v>0</v>
      </c>
      <c r="Q58" s="87">
        <v>2</v>
      </c>
      <c r="R58" s="87">
        <v>0</v>
      </c>
      <c r="S58" s="70" t="str">
        <f t="shared" si="64"/>
        <v>1</v>
      </c>
      <c r="T58" s="74">
        <f t="shared" si="65"/>
        <v>0</v>
      </c>
      <c r="U58" s="87">
        <v>2</v>
      </c>
      <c r="V58" s="87">
        <v>0</v>
      </c>
      <c r="W58" s="70" t="str">
        <f t="shared" si="66"/>
        <v>1</v>
      </c>
      <c r="X58" s="74">
        <f t="shared" si="67"/>
        <v>0</v>
      </c>
      <c r="Y58" s="87">
        <v>3</v>
      </c>
      <c r="Z58" s="87">
        <v>0</v>
      </c>
      <c r="AA58" s="70" t="str">
        <f t="shared" si="68"/>
        <v>1</v>
      </c>
      <c r="AB58" s="74">
        <f t="shared" si="69"/>
        <v>0</v>
      </c>
      <c r="AC58" s="87">
        <v>2</v>
      </c>
      <c r="AD58" s="87">
        <v>0</v>
      </c>
      <c r="AE58" s="70" t="str">
        <f t="shared" si="70"/>
        <v>1</v>
      </c>
      <c r="AF58" s="74">
        <f t="shared" si="71"/>
        <v>0</v>
      </c>
      <c r="AG58" s="87">
        <v>3</v>
      </c>
      <c r="AH58" s="87">
        <v>0</v>
      </c>
      <c r="AI58" s="70" t="str">
        <f t="shared" si="72"/>
        <v>1</v>
      </c>
      <c r="AJ58" s="74">
        <f t="shared" si="73"/>
        <v>0</v>
      </c>
      <c r="AK58" s="87">
        <v>2</v>
      </c>
      <c r="AL58" s="87">
        <v>0</v>
      </c>
      <c r="AM58" s="70" t="str">
        <f t="shared" si="74"/>
        <v>1</v>
      </c>
      <c r="AN58" s="74">
        <f t="shared" si="75"/>
        <v>0</v>
      </c>
      <c r="AO58" s="87">
        <v>4</v>
      </c>
      <c r="AP58" s="87">
        <v>0</v>
      </c>
      <c r="AQ58" s="70" t="str">
        <f t="shared" si="76"/>
        <v>1</v>
      </c>
      <c r="AR58" s="74">
        <f t="shared" si="77"/>
        <v>0</v>
      </c>
      <c r="AS58" s="88">
        <v>2</v>
      </c>
      <c r="AT58" s="88">
        <v>1</v>
      </c>
      <c r="AU58" s="70" t="str">
        <f t="shared" si="78"/>
        <v>1</v>
      </c>
      <c r="AV58" s="74">
        <f t="shared" si="79"/>
        <v>0</v>
      </c>
      <c r="AW58" s="87">
        <v>2</v>
      </c>
      <c r="AX58" s="87">
        <v>0</v>
      </c>
      <c r="AY58" s="70" t="str">
        <f t="shared" si="80"/>
        <v>1</v>
      </c>
      <c r="AZ58" s="74">
        <f t="shared" si="81"/>
        <v>0</v>
      </c>
      <c r="BA58" s="91">
        <v>2</v>
      </c>
      <c r="BB58" s="91">
        <v>0</v>
      </c>
      <c r="BC58" s="70" t="str">
        <f t="shared" si="82"/>
        <v>1</v>
      </c>
      <c r="BD58" s="74">
        <f t="shared" si="83"/>
        <v>0</v>
      </c>
      <c r="BE58" s="87">
        <v>2</v>
      </c>
      <c r="BF58" s="87">
        <v>1</v>
      </c>
      <c r="BG58" s="70" t="str">
        <f t="shared" si="84"/>
        <v>1</v>
      </c>
      <c r="BH58" s="74">
        <f t="shared" si="85"/>
        <v>0</v>
      </c>
      <c r="BI58" s="87">
        <v>1</v>
      </c>
      <c r="BJ58" s="87">
        <v>0</v>
      </c>
      <c r="BK58" s="70" t="str">
        <f t="shared" si="86"/>
        <v>1</v>
      </c>
      <c r="BL58" s="74">
        <f t="shared" si="87"/>
        <v>0</v>
      </c>
      <c r="BM58" s="87">
        <v>2</v>
      </c>
      <c r="BN58" s="87">
        <v>0</v>
      </c>
      <c r="BO58" s="70" t="str">
        <f t="shared" si="88"/>
        <v>1</v>
      </c>
      <c r="BP58" s="74">
        <f t="shared" si="89"/>
        <v>0</v>
      </c>
      <c r="BQ58" s="87">
        <v>3</v>
      </c>
      <c r="BR58" s="87">
        <v>1</v>
      </c>
      <c r="BS58" s="70" t="str">
        <f t="shared" si="90"/>
        <v>1</v>
      </c>
      <c r="BT58" s="74">
        <f t="shared" si="91"/>
        <v>0</v>
      </c>
      <c r="BU58" s="87">
        <v>2</v>
      </c>
      <c r="BV58" s="87">
        <v>0</v>
      </c>
      <c r="BW58" s="70" t="str">
        <f t="shared" si="92"/>
        <v>1</v>
      </c>
      <c r="BX58" s="74">
        <f t="shared" si="93"/>
        <v>0</v>
      </c>
      <c r="BY58" s="87">
        <v>3</v>
      </c>
      <c r="BZ58" s="87">
        <v>0</v>
      </c>
      <c r="CA58" s="70" t="str">
        <f t="shared" si="94"/>
        <v>1</v>
      </c>
      <c r="CB58" s="74">
        <f t="shared" si="95"/>
        <v>0</v>
      </c>
      <c r="CC58" s="87">
        <v>2</v>
      </c>
      <c r="CD58" s="87">
        <v>1</v>
      </c>
      <c r="CE58" s="70" t="str">
        <f t="shared" si="96"/>
        <v>1</v>
      </c>
      <c r="CF58" s="74">
        <f t="shared" si="97"/>
        <v>0</v>
      </c>
      <c r="CG58" s="87">
        <v>3</v>
      </c>
      <c r="CH58" s="87">
        <v>0</v>
      </c>
      <c r="CI58" s="70" t="str">
        <f t="shared" si="98"/>
        <v>1</v>
      </c>
      <c r="CJ58" s="74">
        <f t="shared" si="99"/>
        <v>0</v>
      </c>
      <c r="CK58" s="88">
        <v>3</v>
      </c>
      <c r="CL58" s="88">
        <v>0</v>
      </c>
      <c r="CM58" s="70" t="str">
        <f t="shared" si="100"/>
        <v>1</v>
      </c>
      <c r="CN58" s="74">
        <f t="shared" si="101"/>
        <v>0</v>
      </c>
      <c r="CO58" s="87">
        <v>2</v>
      </c>
      <c r="CP58" s="87">
        <v>1</v>
      </c>
      <c r="CQ58" s="70" t="str">
        <f t="shared" si="102"/>
        <v>1</v>
      </c>
      <c r="CR58" s="74">
        <f t="shared" si="103"/>
        <v>0</v>
      </c>
      <c r="CS58" s="87">
        <v>3</v>
      </c>
      <c r="CT58" s="87">
        <v>0</v>
      </c>
      <c r="CU58" s="70" t="str">
        <f t="shared" si="104"/>
        <v>1</v>
      </c>
      <c r="CV58" s="74">
        <f t="shared" si="105"/>
        <v>0</v>
      </c>
      <c r="CW58" s="87">
        <v>2</v>
      </c>
      <c r="CX58" s="87">
        <v>0</v>
      </c>
      <c r="CY58" s="70" t="str">
        <f t="shared" si="106"/>
        <v>1</v>
      </c>
      <c r="CZ58" s="74">
        <f t="shared" si="107"/>
        <v>0</v>
      </c>
      <c r="DA58" s="87">
        <v>2</v>
      </c>
      <c r="DB58" s="87">
        <v>0</v>
      </c>
      <c r="DC58" s="70" t="str">
        <f t="shared" si="108"/>
        <v>1</v>
      </c>
      <c r="DD58" s="74">
        <f t="shared" si="109"/>
        <v>0</v>
      </c>
      <c r="DE58" s="87">
        <v>3</v>
      </c>
      <c r="DF58" s="87">
        <v>1</v>
      </c>
      <c r="DG58" s="70" t="str">
        <f t="shared" si="110"/>
        <v>1</v>
      </c>
      <c r="DH58" s="74">
        <f t="shared" si="111"/>
        <v>0</v>
      </c>
      <c r="DI58" s="87">
        <v>2</v>
      </c>
      <c r="DJ58" s="87">
        <v>0</v>
      </c>
      <c r="DK58" s="70" t="str">
        <f t="shared" si="112"/>
        <v>1</v>
      </c>
      <c r="DL58" s="74">
        <f t="shared" si="113"/>
        <v>0</v>
      </c>
      <c r="DM58" s="87">
        <v>1</v>
      </c>
      <c r="DN58" s="87">
        <v>1</v>
      </c>
      <c r="DO58" s="70" t="str">
        <f t="shared" si="56"/>
        <v>X</v>
      </c>
      <c r="DP58" s="74">
        <f t="shared" si="57"/>
        <v>0</v>
      </c>
    </row>
    <row r="59" spans="1:120" ht="16" customHeight="1" thickBot="1">
      <c r="A59" s="130">
        <v>44728</v>
      </c>
      <c r="B59" s="131" t="s">
        <v>109</v>
      </c>
      <c r="C59" s="85" t="s">
        <v>85</v>
      </c>
      <c r="D59" s="85" t="s">
        <v>86</v>
      </c>
      <c r="E59" s="84">
        <f t="shared" si="58"/>
        <v>0</v>
      </c>
      <c r="F59" s="23"/>
      <c r="G59" s="5"/>
      <c r="H59" s="77" t="b">
        <f t="shared" si="59"/>
        <v>0</v>
      </c>
      <c r="I59" s="87">
        <v>2</v>
      </c>
      <c r="J59" s="87">
        <v>0</v>
      </c>
      <c r="K59" s="70" t="str">
        <f t="shared" si="60"/>
        <v>1</v>
      </c>
      <c r="L59" s="74">
        <f t="shared" si="61"/>
        <v>0</v>
      </c>
      <c r="M59" s="87">
        <v>1</v>
      </c>
      <c r="N59" s="87">
        <v>0</v>
      </c>
      <c r="O59" s="70" t="str">
        <f t="shared" si="62"/>
        <v>1</v>
      </c>
      <c r="P59" s="74">
        <f t="shared" si="63"/>
        <v>0</v>
      </c>
      <c r="Q59" s="87">
        <v>2</v>
      </c>
      <c r="R59" s="87">
        <v>0</v>
      </c>
      <c r="S59" s="70" t="str">
        <f t="shared" si="64"/>
        <v>1</v>
      </c>
      <c r="T59" s="74">
        <f t="shared" si="65"/>
        <v>0</v>
      </c>
      <c r="U59" s="87">
        <v>2</v>
      </c>
      <c r="V59" s="87">
        <v>0</v>
      </c>
      <c r="W59" s="70" t="str">
        <f t="shared" si="66"/>
        <v>1</v>
      </c>
      <c r="X59" s="74">
        <f t="shared" si="67"/>
        <v>0</v>
      </c>
      <c r="Y59" s="87">
        <v>1</v>
      </c>
      <c r="Z59" s="87">
        <v>0</v>
      </c>
      <c r="AA59" s="70" t="str">
        <f t="shared" si="68"/>
        <v>1</v>
      </c>
      <c r="AB59" s="74">
        <f t="shared" si="69"/>
        <v>0</v>
      </c>
      <c r="AC59" s="87">
        <v>2</v>
      </c>
      <c r="AD59" s="87">
        <v>0</v>
      </c>
      <c r="AE59" s="70" t="str">
        <f t="shared" si="70"/>
        <v>1</v>
      </c>
      <c r="AF59" s="74">
        <f t="shared" si="71"/>
        <v>0</v>
      </c>
      <c r="AG59" s="87">
        <v>2</v>
      </c>
      <c r="AH59" s="87">
        <v>0</v>
      </c>
      <c r="AI59" s="70" t="str">
        <f t="shared" si="72"/>
        <v>1</v>
      </c>
      <c r="AJ59" s="74">
        <f t="shared" si="73"/>
        <v>0</v>
      </c>
      <c r="AK59" s="87">
        <v>2</v>
      </c>
      <c r="AL59" s="87">
        <v>0</v>
      </c>
      <c r="AM59" s="70" t="str">
        <f t="shared" si="74"/>
        <v>1</v>
      </c>
      <c r="AN59" s="74">
        <f t="shared" si="75"/>
        <v>0</v>
      </c>
      <c r="AO59" s="87">
        <v>4</v>
      </c>
      <c r="AP59" s="87">
        <v>0</v>
      </c>
      <c r="AQ59" s="70" t="str">
        <f t="shared" si="76"/>
        <v>1</v>
      </c>
      <c r="AR59" s="74">
        <f t="shared" si="77"/>
        <v>0</v>
      </c>
      <c r="AS59" s="88">
        <v>3</v>
      </c>
      <c r="AT59" s="88">
        <v>0</v>
      </c>
      <c r="AU59" s="70" t="str">
        <f t="shared" si="78"/>
        <v>1</v>
      </c>
      <c r="AV59" s="74">
        <f t="shared" si="79"/>
        <v>0</v>
      </c>
      <c r="AW59" s="87">
        <v>1</v>
      </c>
      <c r="AX59" s="87">
        <v>0</v>
      </c>
      <c r="AY59" s="70" t="str">
        <f t="shared" si="80"/>
        <v>1</v>
      </c>
      <c r="AZ59" s="74">
        <f t="shared" si="81"/>
        <v>0</v>
      </c>
      <c r="BA59" s="91">
        <v>2</v>
      </c>
      <c r="BB59" s="91">
        <v>0</v>
      </c>
      <c r="BC59" s="70" t="str">
        <f t="shared" si="82"/>
        <v>1</v>
      </c>
      <c r="BD59" s="74">
        <f t="shared" si="83"/>
        <v>0</v>
      </c>
      <c r="BE59" s="87">
        <v>2</v>
      </c>
      <c r="BF59" s="87">
        <v>0</v>
      </c>
      <c r="BG59" s="70" t="str">
        <f t="shared" si="84"/>
        <v>1</v>
      </c>
      <c r="BH59" s="74">
        <f t="shared" si="85"/>
        <v>0</v>
      </c>
      <c r="BI59" s="87">
        <v>1</v>
      </c>
      <c r="BJ59" s="87">
        <v>0</v>
      </c>
      <c r="BK59" s="70" t="str">
        <f t="shared" si="86"/>
        <v>1</v>
      </c>
      <c r="BL59" s="74">
        <f t="shared" si="87"/>
        <v>0</v>
      </c>
      <c r="BM59" s="87">
        <v>2</v>
      </c>
      <c r="BN59" s="87">
        <v>0</v>
      </c>
      <c r="BO59" s="70" t="str">
        <f t="shared" si="88"/>
        <v>1</v>
      </c>
      <c r="BP59" s="74">
        <f t="shared" si="89"/>
        <v>0</v>
      </c>
      <c r="BQ59" s="87">
        <v>2</v>
      </c>
      <c r="BR59" s="87">
        <v>1</v>
      </c>
      <c r="BS59" s="70" t="str">
        <f t="shared" si="90"/>
        <v>1</v>
      </c>
      <c r="BT59" s="74">
        <f t="shared" si="91"/>
        <v>0</v>
      </c>
      <c r="BU59" s="87">
        <v>3</v>
      </c>
      <c r="BV59" s="87">
        <v>0</v>
      </c>
      <c r="BW59" s="70" t="str">
        <f t="shared" si="92"/>
        <v>1</v>
      </c>
      <c r="BX59" s="74">
        <f t="shared" si="93"/>
        <v>0</v>
      </c>
      <c r="BY59" s="87">
        <v>2</v>
      </c>
      <c r="BZ59" s="87">
        <v>0</v>
      </c>
      <c r="CA59" s="70" t="str">
        <f t="shared" si="94"/>
        <v>1</v>
      </c>
      <c r="CB59" s="74">
        <f t="shared" si="95"/>
        <v>0</v>
      </c>
      <c r="CC59" s="87">
        <v>2</v>
      </c>
      <c r="CD59" s="87">
        <v>0</v>
      </c>
      <c r="CE59" s="70" t="str">
        <f t="shared" si="96"/>
        <v>1</v>
      </c>
      <c r="CF59" s="74">
        <f t="shared" si="97"/>
        <v>0</v>
      </c>
      <c r="CG59" s="87">
        <v>2</v>
      </c>
      <c r="CH59" s="87">
        <v>0</v>
      </c>
      <c r="CI59" s="70" t="str">
        <f t="shared" si="98"/>
        <v>1</v>
      </c>
      <c r="CJ59" s="74">
        <f t="shared" si="99"/>
        <v>0</v>
      </c>
      <c r="CK59" s="88">
        <v>2</v>
      </c>
      <c r="CL59" s="88">
        <v>0</v>
      </c>
      <c r="CM59" s="70" t="str">
        <f t="shared" si="100"/>
        <v>1</v>
      </c>
      <c r="CN59" s="74">
        <f t="shared" si="101"/>
        <v>0</v>
      </c>
      <c r="CO59" s="87">
        <v>1</v>
      </c>
      <c r="CP59" s="87">
        <v>0</v>
      </c>
      <c r="CQ59" s="70" t="str">
        <f t="shared" si="102"/>
        <v>1</v>
      </c>
      <c r="CR59" s="74">
        <f t="shared" si="103"/>
        <v>0</v>
      </c>
      <c r="CS59" s="87">
        <v>3</v>
      </c>
      <c r="CT59" s="87">
        <v>1</v>
      </c>
      <c r="CU59" s="70" t="str">
        <f t="shared" si="104"/>
        <v>1</v>
      </c>
      <c r="CV59" s="74">
        <f t="shared" si="105"/>
        <v>0</v>
      </c>
      <c r="CW59" s="87">
        <v>2</v>
      </c>
      <c r="CX59" s="87">
        <v>0</v>
      </c>
      <c r="CY59" s="70" t="str">
        <f t="shared" si="106"/>
        <v>1</v>
      </c>
      <c r="CZ59" s="74">
        <f t="shared" si="107"/>
        <v>0</v>
      </c>
      <c r="DA59" s="87">
        <v>2</v>
      </c>
      <c r="DB59" s="87">
        <v>0</v>
      </c>
      <c r="DC59" s="70" t="str">
        <f t="shared" si="108"/>
        <v>1</v>
      </c>
      <c r="DD59" s="74">
        <f t="shared" si="109"/>
        <v>0</v>
      </c>
      <c r="DE59" s="87">
        <v>3</v>
      </c>
      <c r="DF59" s="87">
        <v>0</v>
      </c>
      <c r="DG59" s="70" t="str">
        <f t="shared" si="110"/>
        <v>1</v>
      </c>
      <c r="DH59" s="74">
        <f t="shared" si="111"/>
        <v>0</v>
      </c>
      <c r="DI59" s="87">
        <v>4</v>
      </c>
      <c r="DJ59" s="87">
        <v>1</v>
      </c>
      <c r="DK59" s="70" t="str">
        <f t="shared" si="112"/>
        <v>1</v>
      </c>
      <c r="DL59" s="74">
        <f t="shared" si="113"/>
        <v>0</v>
      </c>
      <c r="DM59" s="87">
        <v>3</v>
      </c>
      <c r="DN59" s="87">
        <v>1</v>
      </c>
      <c r="DO59" s="70" t="str">
        <f t="shared" si="56"/>
        <v>1</v>
      </c>
      <c r="DP59" s="74">
        <f t="shared" si="57"/>
        <v>0</v>
      </c>
    </row>
    <row r="60" spans="1:120" ht="16" customHeight="1" thickBot="1">
      <c r="A60" s="130">
        <v>44733</v>
      </c>
      <c r="B60" s="131" t="s">
        <v>111</v>
      </c>
      <c r="C60" s="85" t="s">
        <v>83</v>
      </c>
      <c r="D60" s="85" t="s">
        <v>85</v>
      </c>
      <c r="E60" s="84">
        <f t="shared" si="58"/>
        <v>0</v>
      </c>
      <c r="F60" s="23"/>
      <c r="G60" s="5"/>
      <c r="H60" s="77" t="b">
        <f t="shared" si="59"/>
        <v>0</v>
      </c>
      <c r="I60" s="87">
        <v>2</v>
      </c>
      <c r="J60" s="87">
        <v>0</v>
      </c>
      <c r="K60" s="70" t="str">
        <f t="shared" si="60"/>
        <v>1</v>
      </c>
      <c r="L60" s="74">
        <f t="shared" si="61"/>
        <v>0</v>
      </c>
      <c r="M60" s="87">
        <v>2</v>
      </c>
      <c r="N60" s="87">
        <v>1</v>
      </c>
      <c r="O60" s="70" t="str">
        <f t="shared" si="62"/>
        <v>1</v>
      </c>
      <c r="P60" s="74">
        <f t="shared" si="63"/>
        <v>0</v>
      </c>
      <c r="Q60" s="87">
        <v>1</v>
      </c>
      <c r="R60" s="87">
        <v>0</v>
      </c>
      <c r="S60" s="70" t="str">
        <f t="shared" si="64"/>
        <v>1</v>
      </c>
      <c r="T60" s="74">
        <f t="shared" si="65"/>
        <v>0</v>
      </c>
      <c r="U60" s="87">
        <v>1</v>
      </c>
      <c r="V60" s="87">
        <v>0</v>
      </c>
      <c r="W60" s="70" t="str">
        <f t="shared" si="66"/>
        <v>1</v>
      </c>
      <c r="X60" s="74">
        <f t="shared" si="67"/>
        <v>0</v>
      </c>
      <c r="Y60" s="87">
        <v>0</v>
      </c>
      <c r="Z60" s="87">
        <v>0</v>
      </c>
      <c r="AA60" s="70" t="str">
        <f t="shared" si="68"/>
        <v>X</v>
      </c>
      <c r="AB60" s="74">
        <f t="shared" si="69"/>
        <v>0</v>
      </c>
      <c r="AC60" s="87">
        <v>2</v>
      </c>
      <c r="AD60" s="87">
        <v>0</v>
      </c>
      <c r="AE60" s="70" t="str">
        <f t="shared" si="70"/>
        <v>1</v>
      </c>
      <c r="AF60" s="74">
        <f t="shared" si="71"/>
        <v>0</v>
      </c>
      <c r="AG60" s="87">
        <v>2</v>
      </c>
      <c r="AH60" s="87">
        <v>0</v>
      </c>
      <c r="AI60" s="70" t="str">
        <f t="shared" si="72"/>
        <v>1</v>
      </c>
      <c r="AJ60" s="74">
        <f t="shared" si="73"/>
        <v>0</v>
      </c>
      <c r="AK60" s="87">
        <v>2</v>
      </c>
      <c r="AL60" s="87">
        <v>1</v>
      </c>
      <c r="AM60" s="70" t="str">
        <f t="shared" si="74"/>
        <v>1</v>
      </c>
      <c r="AN60" s="74">
        <f t="shared" si="75"/>
        <v>0</v>
      </c>
      <c r="AO60" s="87">
        <v>2</v>
      </c>
      <c r="AP60" s="87">
        <v>1</v>
      </c>
      <c r="AQ60" s="70" t="str">
        <f t="shared" si="76"/>
        <v>1</v>
      </c>
      <c r="AR60" s="74">
        <f t="shared" si="77"/>
        <v>0</v>
      </c>
      <c r="AS60" s="88">
        <v>2</v>
      </c>
      <c r="AT60" s="88">
        <v>1</v>
      </c>
      <c r="AU60" s="70" t="str">
        <f t="shared" si="78"/>
        <v>1</v>
      </c>
      <c r="AV60" s="74">
        <f t="shared" si="79"/>
        <v>0</v>
      </c>
      <c r="AW60" s="87">
        <v>3</v>
      </c>
      <c r="AX60" s="87">
        <v>1</v>
      </c>
      <c r="AY60" s="70" t="str">
        <f t="shared" si="80"/>
        <v>1</v>
      </c>
      <c r="AZ60" s="74">
        <f t="shared" si="81"/>
        <v>0</v>
      </c>
      <c r="BA60" s="91">
        <v>2</v>
      </c>
      <c r="BB60" s="91">
        <v>0</v>
      </c>
      <c r="BC60" s="70" t="str">
        <f t="shared" si="82"/>
        <v>1</v>
      </c>
      <c r="BD60" s="74">
        <f t="shared" si="83"/>
        <v>0</v>
      </c>
      <c r="BE60" s="87">
        <v>3</v>
      </c>
      <c r="BF60" s="87">
        <v>1</v>
      </c>
      <c r="BG60" s="70" t="str">
        <f t="shared" si="84"/>
        <v>1</v>
      </c>
      <c r="BH60" s="74">
        <f t="shared" si="85"/>
        <v>0</v>
      </c>
      <c r="BI60" s="87">
        <v>1</v>
      </c>
      <c r="BJ60" s="87">
        <v>1</v>
      </c>
      <c r="BK60" s="70" t="str">
        <f t="shared" si="86"/>
        <v>X</v>
      </c>
      <c r="BL60" s="74">
        <f t="shared" si="87"/>
        <v>0</v>
      </c>
      <c r="BM60" s="87">
        <v>2</v>
      </c>
      <c r="BN60" s="87">
        <v>1</v>
      </c>
      <c r="BO60" s="70" t="str">
        <f t="shared" si="88"/>
        <v>1</v>
      </c>
      <c r="BP60" s="74">
        <f t="shared" si="89"/>
        <v>0</v>
      </c>
      <c r="BQ60" s="87">
        <v>2</v>
      </c>
      <c r="BR60" s="87">
        <v>0</v>
      </c>
      <c r="BS60" s="70" t="str">
        <f t="shared" si="90"/>
        <v>1</v>
      </c>
      <c r="BT60" s="74">
        <f t="shared" si="91"/>
        <v>0</v>
      </c>
      <c r="BU60" s="87">
        <v>2</v>
      </c>
      <c r="BV60" s="87">
        <v>1</v>
      </c>
      <c r="BW60" s="70" t="str">
        <f t="shared" si="92"/>
        <v>1</v>
      </c>
      <c r="BX60" s="74">
        <f t="shared" si="93"/>
        <v>0</v>
      </c>
      <c r="BY60" s="87">
        <v>2</v>
      </c>
      <c r="BZ60" s="87">
        <v>0</v>
      </c>
      <c r="CA60" s="70" t="str">
        <f t="shared" si="94"/>
        <v>1</v>
      </c>
      <c r="CB60" s="74">
        <f t="shared" si="95"/>
        <v>0</v>
      </c>
      <c r="CC60" s="87">
        <v>1</v>
      </c>
      <c r="CD60" s="87">
        <v>1</v>
      </c>
      <c r="CE60" s="70" t="str">
        <f t="shared" si="96"/>
        <v>X</v>
      </c>
      <c r="CF60" s="74">
        <f t="shared" si="97"/>
        <v>0</v>
      </c>
      <c r="CG60" s="87">
        <v>2</v>
      </c>
      <c r="CH60" s="87">
        <v>1</v>
      </c>
      <c r="CI60" s="70" t="str">
        <f t="shared" si="98"/>
        <v>1</v>
      </c>
      <c r="CJ60" s="74">
        <f t="shared" si="99"/>
        <v>0</v>
      </c>
      <c r="CK60" s="88">
        <v>3</v>
      </c>
      <c r="CL60" s="88">
        <v>1</v>
      </c>
      <c r="CM60" s="70" t="str">
        <f t="shared" si="100"/>
        <v>1</v>
      </c>
      <c r="CN60" s="74">
        <f t="shared" si="101"/>
        <v>0</v>
      </c>
      <c r="CO60" s="87">
        <v>2</v>
      </c>
      <c r="CP60" s="87">
        <v>0</v>
      </c>
      <c r="CQ60" s="70" t="str">
        <f t="shared" si="102"/>
        <v>1</v>
      </c>
      <c r="CR60" s="74">
        <f t="shared" si="103"/>
        <v>0</v>
      </c>
      <c r="CS60" s="87">
        <v>2</v>
      </c>
      <c r="CT60" s="87">
        <v>1</v>
      </c>
      <c r="CU60" s="70" t="str">
        <f t="shared" si="104"/>
        <v>1</v>
      </c>
      <c r="CV60" s="74">
        <f t="shared" si="105"/>
        <v>0</v>
      </c>
      <c r="CW60" s="87">
        <v>2</v>
      </c>
      <c r="CX60" s="87">
        <v>0</v>
      </c>
      <c r="CY60" s="70" t="str">
        <f t="shared" si="106"/>
        <v>1</v>
      </c>
      <c r="CZ60" s="74">
        <f t="shared" si="107"/>
        <v>0</v>
      </c>
      <c r="DA60" s="87">
        <v>3</v>
      </c>
      <c r="DB60" s="87">
        <v>1</v>
      </c>
      <c r="DC60" s="70" t="str">
        <f t="shared" si="108"/>
        <v>1</v>
      </c>
      <c r="DD60" s="74">
        <f t="shared" si="109"/>
        <v>0</v>
      </c>
      <c r="DE60" s="87">
        <v>3</v>
      </c>
      <c r="DF60" s="87">
        <v>1</v>
      </c>
      <c r="DG60" s="70" t="str">
        <f t="shared" si="110"/>
        <v>1</v>
      </c>
      <c r="DH60" s="74">
        <f t="shared" si="111"/>
        <v>0</v>
      </c>
      <c r="DI60" s="87">
        <v>3</v>
      </c>
      <c r="DJ60" s="87">
        <v>1</v>
      </c>
      <c r="DK60" s="70" t="str">
        <f t="shared" si="112"/>
        <v>1</v>
      </c>
      <c r="DL60" s="74">
        <f t="shared" si="113"/>
        <v>0</v>
      </c>
      <c r="DM60" s="87">
        <v>2</v>
      </c>
      <c r="DN60" s="87">
        <v>1</v>
      </c>
      <c r="DO60" s="70" t="str">
        <f t="shared" si="56"/>
        <v>1</v>
      </c>
      <c r="DP60" s="74">
        <f t="shared" si="57"/>
        <v>0</v>
      </c>
    </row>
    <row r="61" spans="1:120" ht="16" customHeight="1" thickBot="1">
      <c r="A61" s="130">
        <v>44734</v>
      </c>
      <c r="B61" s="131" t="s">
        <v>110</v>
      </c>
      <c r="C61" s="85" t="s">
        <v>86</v>
      </c>
      <c r="D61" s="85" t="s">
        <v>84</v>
      </c>
      <c r="E61" s="84">
        <f t="shared" si="58"/>
        <v>0</v>
      </c>
      <c r="F61" s="23"/>
      <c r="G61" s="5"/>
      <c r="H61" s="77" t="b">
        <f t="shared" si="59"/>
        <v>0</v>
      </c>
      <c r="I61" s="87">
        <v>0</v>
      </c>
      <c r="J61" s="87">
        <v>2</v>
      </c>
      <c r="K61" s="70" t="str">
        <f t="shared" si="60"/>
        <v>2</v>
      </c>
      <c r="L61" s="74">
        <f t="shared" si="61"/>
        <v>0</v>
      </c>
      <c r="M61" s="87">
        <v>1</v>
      </c>
      <c r="N61" s="87">
        <v>1</v>
      </c>
      <c r="O61" s="70" t="str">
        <f t="shared" si="62"/>
        <v>X</v>
      </c>
      <c r="P61" s="74">
        <f t="shared" si="63"/>
        <v>0</v>
      </c>
      <c r="Q61" s="87">
        <v>0</v>
      </c>
      <c r="R61" s="87">
        <v>2</v>
      </c>
      <c r="S61" s="70" t="str">
        <f t="shared" si="64"/>
        <v>2</v>
      </c>
      <c r="T61" s="74">
        <f t="shared" si="65"/>
        <v>0</v>
      </c>
      <c r="U61" s="87">
        <v>1</v>
      </c>
      <c r="V61" s="87">
        <v>3</v>
      </c>
      <c r="W61" s="70" t="str">
        <f t="shared" si="66"/>
        <v>2</v>
      </c>
      <c r="X61" s="74">
        <f t="shared" si="67"/>
        <v>0</v>
      </c>
      <c r="Y61" s="87">
        <v>0</v>
      </c>
      <c r="Z61" s="87">
        <v>1</v>
      </c>
      <c r="AA61" s="70" t="str">
        <f t="shared" si="68"/>
        <v>2</v>
      </c>
      <c r="AB61" s="74">
        <f t="shared" si="69"/>
        <v>0</v>
      </c>
      <c r="AC61" s="87">
        <v>0</v>
      </c>
      <c r="AD61" s="87">
        <v>1</v>
      </c>
      <c r="AE61" s="70" t="str">
        <f t="shared" si="70"/>
        <v>2</v>
      </c>
      <c r="AF61" s="74">
        <f t="shared" si="71"/>
        <v>0</v>
      </c>
      <c r="AG61" s="87">
        <v>1</v>
      </c>
      <c r="AH61" s="87">
        <v>2</v>
      </c>
      <c r="AI61" s="70" t="str">
        <f t="shared" si="72"/>
        <v>2</v>
      </c>
      <c r="AJ61" s="74">
        <f t="shared" si="73"/>
        <v>0</v>
      </c>
      <c r="AK61" s="87">
        <v>0</v>
      </c>
      <c r="AL61" s="87">
        <v>2</v>
      </c>
      <c r="AM61" s="70" t="str">
        <f t="shared" si="74"/>
        <v>2</v>
      </c>
      <c r="AN61" s="74">
        <f t="shared" si="75"/>
        <v>0</v>
      </c>
      <c r="AO61" s="87">
        <v>1</v>
      </c>
      <c r="AP61" s="87">
        <v>2</v>
      </c>
      <c r="AQ61" s="70" t="str">
        <f t="shared" si="76"/>
        <v>2</v>
      </c>
      <c r="AR61" s="74">
        <f t="shared" si="77"/>
        <v>0</v>
      </c>
      <c r="AS61" s="88">
        <v>0</v>
      </c>
      <c r="AT61" s="88">
        <v>5</v>
      </c>
      <c r="AU61" s="70" t="str">
        <f t="shared" si="78"/>
        <v>2</v>
      </c>
      <c r="AV61" s="74">
        <f t="shared" si="79"/>
        <v>0</v>
      </c>
      <c r="AW61" s="87">
        <v>0</v>
      </c>
      <c r="AX61" s="87">
        <v>1</v>
      </c>
      <c r="AY61" s="70" t="str">
        <f t="shared" si="80"/>
        <v>2</v>
      </c>
      <c r="AZ61" s="74">
        <f t="shared" si="81"/>
        <v>0</v>
      </c>
      <c r="BA61" s="91">
        <v>0</v>
      </c>
      <c r="BB61" s="91">
        <v>1</v>
      </c>
      <c r="BC61" s="70" t="str">
        <f t="shared" si="82"/>
        <v>2</v>
      </c>
      <c r="BD61" s="74">
        <f t="shared" si="83"/>
        <v>0</v>
      </c>
      <c r="BE61" s="87">
        <v>1</v>
      </c>
      <c r="BF61" s="87">
        <v>1</v>
      </c>
      <c r="BG61" s="70" t="str">
        <f t="shared" si="84"/>
        <v>X</v>
      </c>
      <c r="BH61" s="74">
        <f t="shared" si="85"/>
        <v>0</v>
      </c>
      <c r="BI61" s="87">
        <v>0</v>
      </c>
      <c r="BJ61" s="87">
        <v>1</v>
      </c>
      <c r="BK61" s="70" t="str">
        <f t="shared" si="86"/>
        <v>2</v>
      </c>
      <c r="BL61" s="74">
        <f t="shared" si="87"/>
        <v>0</v>
      </c>
      <c r="BM61" s="87">
        <v>0</v>
      </c>
      <c r="BN61" s="87">
        <v>2</v>
      </c>
      <c r="BO61" s="70" t="str">
        <f t="shared" si="88"/>
        <v>2</v>
      </c>
      <c r="BP61" s="74">
        <f t="shared" si="89"/>
        <v>0</v>
      </c>
      <c r="BQ61" s="87">
        <v>0</v>
      </c>
      <c r="BR61" s="87">
        <v>2</v>
      </c>
      <c r="BS61" s="70" t="str">
        <f t="shared" si="90"/>
        <v>2</v>
      </c>
      <c r="BT61" s="74">
        <f t="shared" si="91"/>
        <v>0</v>
      </c>
      <c r="BU61" s="87">
        <v>0</v>
      </c>
      <c r="BV61" s="87">
        <v>2</v>
      </c>
      <c r="BW61" s="70" t="str">
        <f t="shared" si="92"/>
        <v>2</v>
      </c>
      <c r="BX61" s="74">
        <f t="shared" si="93"/>
        <v>0</v>
      </c>
      <c r="BY61" s="87">
        <v>0</v>
      </c>
      <c r="BZ61" s="87">
        <v>2</v>
      </c>
      <c r="CA61" s="70" t="str">
        <f t="shared" si="94"/>
        <v>2</v>
      </c>
      <c r="CB61" s="74">
        <f t="shared" si="95"/>
        <v>0</v>
      </c>
      <c r="CC61" s="87">
        <v>1</v>
      </c>
      <c r="CD61" s="87">
        <v>2</v>
      </c>
      <c r="CE61" s="70" t="str">
        <f t="shared" si="96"/>
        <v>2</v>
      </c>
      <c r="CF61" s="74">
        <f t="shared" si="97"/>
        <v>0</v>
      </c>
      <c r="CG61" s="87">
        <v>1</v>
      </c>
      <c r="CH61" s="87">
        <v>1</v>
      </c>
      <c r="CI61" s="70" t="str">
        <f t="shared" si="98"/>
        <v>X</v>
      </c>
      <c r="CJ61" s="74">
        <f t="shared" si="99"/>
        <v>0</v>
      </c>
      <c r="CK61" s="88">
        <v>1</v>
      </c>
      <c r="CL61" s="88">
        <v>2</v>
      </c>
      <c r="CM61" s="70" t="str">
        <f t="shared" si="100"/>
        <v>2</v>
      </c>
      <c r="CN61" s="74">
        <f t="shared" si="101"/>
        <v>0</v>
      </c>
      <c r="CO61" s="87">
        <v>0</v>
      </c>
      <c r="CP61" s="87">
        <v>2</v>
      </c>
      <c r="CQ61" s="70" t="str">
        <f t="shared" si="102"/>
        <v>2</v>
      </c>
      <c r="CR61" s="74">
        <f t="shared" si="103"/>
        <v>0</v>
      </c>
      <c r="CS61" s="87">
        <v>0</v>
      </c>
      <c r="CT61" s="87">
        <v>1</v>
      </c>
      <c r="CU61" s="70" t="str">
        <f t="shared" si="104"/>
        <v>2</v>
      </c>
      <c r="CV61" s="74">
        <f t="shared" si="105"/>
        <v>0</v>
      </c>
      <c r="CW61" s="87">
        <v>0</v>
      </c>
      <c r="CX61" s="87">
        <v>2</v>
      </c>
      <c r="CY61" s="70" t="str">
        <f t="shared" si="106"/>
        <v>2</v>
      </c>
      <c r="CZ61" s="74">
        <f t="shared" si="107"/>
        <v>0</v>
      </c>
      <c r="DA61" s="87">
        <v>1</v>
      </c>
      <c r="DB61" s="87">
        <v>2</v>
      </c>
      <c r="DC61" s="70" t="str">
        <f t="shared" si="108"/>
        <v>2</v>
      </c>
      <c r="DD61" s="74">
        <f t="shared" si="109"/>
        <v>0</v>
      </c>
      <c r="DE61" s="87">
        <v>1</v>
      </c>
      <c r="DF61" s="87">
        <v>1</v>
      </c>
      <c r="DG61" s="70" t="str">
        <f t="shared" si="110"/>
        <v>X</v>
      </c>
      <c r="DH61" s="74">
        <f t="shared" si="111"/>
        <v>0</v>
      </c>
      <c r="DI61" s="87">
        <v>0</v>
      </c>
      <c r="DJ61" s="87">
        <v>2</v>
      </c>
      <c r="DK61" s="70" t="str">
        <f t="shared" si="112"/>
        <v>2</v>
      </c>
      <c r="DL61" s="74">
        <f t="shared" si="113"/>
        <v>0</v>
      </c>
      <c r="DM61" s="87">
        <v>0</v>
      </c>
      <c r="DN61" s="87">
        <v>0</v>
      </c>
      <c r="DO61" s="70" t="str">
        <f t="shared" si="56"/>
        <v>X</v>
      </c>
      <c r="DP61" s="74">
        <f t="shared" si="57"/>
        <v>0</v>
      </c>
    </row>
    <row r="62" spans="1:120" ht="16" customHeight="1" thickBot="1">
      <c r="A62" s="130">
        <v>44739</v>
      </c>
      <c r="B62" s="131" t="s">
        <v>104</v>
      </c>
      <c r="C62" s="85" t="s">
        <v>84</v>
      </c>
      <c r="D62" s="85" t="s">
        <v>85</v>
      </c>
      <c r="E62" s="84">
        <f t="shared" si="58"/>
        <v>0</v>
      </c>
      <c r="F62" s="23"/>
      <c r="G62" s="5"/>
      <c r="H62" s="77" t="b">
        <f t="shared" si="59"/>
        <v>0</v>
      </c>
      <c r="I62" s="87"/>
      <c r="J62" s="87"/>
      <c r="K62" s="70" t="str">
        <f t="shared" si="60"/>
        <v>X</v>
      </c>
      <c r="L62" s="74">
        <f t="shared" si="61"/>
        <v>0</v>
      </c>
      <c r="M62" s="87"/>
      <c r="N62" s="87"/>
      <c r="O62" s="70" t="str">
        <f t="shared" si="62"/>
        <v>X</v>
      </c>
      <c r="P62" s="74">
        <f t="shared" si="63"/>
        <v>0</v>
      </c>
      <c r="Q62" s="87"/>
      <c r="R62" s="87"/>
      <c r="S62" s="70" t="str">
        <f t="shared" si="64"/>
        <v>X</v>
      </c>
      <c r="T62" s="74">
        <f t="shared" si="65"/>
        <v>0</v>
      </c>
      <c r="U62" s="87"/>
      <c r="V62" s="87"/>
      <c r="W62" s="70" t="str">
        <f t="shared" si="66"/>
        <v>X</v>
      </c>
      <c r="X62" s="74">
        <f t="shared" si="67"/>
        <v>0</v>
      </c>
      <c r="Y62" s="87"/>
      <c r="Z62" s="87"/>
      <c r="AA62" s="70" t="str">
        <f t="shared" si="68"/>
        <v>X</v>
      </c>
      <c r="AB62" s="74">
        <f t="shared" si="69"/>
        <v>0</v>
      </c>
      <c r="AC62" s="87"/>
      <c r="AD62" s="87"/>
      <c r="AE62" s="70" t="str">
        <f t="shared" si="70"/>
        <v>X</v>
      </c>
      <c r="AF62" s="74">
        <f t="shared" si="71"/>
        <v>0</v>
      </c>
      <c r="AG62" s="87"/>
      <c r="AH62" s="87"/>
      <c r="AI62" s="70" t="str">
        <f t="shared" si="72"/>
        <v>X</v>
      </c>
      <c r="AJ62" s="74">
        <f t="shared" si="73"/>
        <v>0</v>
      </c>
      <c r="AK62" s="87"/>
      <c r="AL62" s="87"/>
      <c r="AM62" s="70" t="str">
        <f t="shared" si="74"/>
        <v>X</v>
      </c>
      <c r="AN62" s="74">
        <f t="shared" si="75"/>
        <v>0</v>
      </c>
      <c r="AO62" s="87"/>
      <c r="AP62" s="87"/>
      <c r="AQ62" s="70" t="str">
        <f t="shared" si="76"/>
        <v>X</v>
      </c>
      <c r="AR62" s="74">
        <f t="shared" si="77"/>
        <v>0</v>
      </c>
      <c r="AS62" s="88"/>
      <c r="AT62" s="88"/>
      <c r="AU62" s="70" t="str">
        <f t="shared" si="78"/>
        <v>X</v>
      </c>
      <c r="AV62" s="74">
        <f t="shared" si="79"/>
        <v>0</v>
      </c>
      <c r="AW62" s="87"/>
      <c r="AX62" s="87"/>
      <c r="AY62" s="70" t="str">
        <f t="shared" si="80"/>
        <v>X</v>
      </c>
      <c r="AZ62" s="74">
        <f t="shared" si="81"/>
        <v>0</v>
      </c>
      <c r="BA62" s="91"/>
      <c r="BB62" s="91"/>
      <c r="BC62" s="70" t="str">
        <f t="shared" si="82"/>
        <v>X</v>
      </c>
      <c r="BD62" s="74">
        <f t="shared" si="83"/>
        <v>0</v>
      </c>
      <c r="BE62" s="87"/>
      <c r="BF62" s="87"/>
      <c r="BG62" s="70" t="str">
        <f t="shared" si="84"/>
        <v>X</v>
      </c>
      <c r="BH62" s="74">
        <f t="shared" si="85"/>
        <v>0</v>
      </c>
      <c r="BI62" s="87"/>
      <c r="BJ62" s="87"/>
      <c r="BK62" s="70" t="str">
        <f t="shared" si="86"/>
        <v>X</v>
      </c>
      <c r="BL62" s="74">
        <f t="shared" si="87"/>
        <v>0</v>
      </c>
      <c r="BM62" s="87"/>
      <c r="BN62" s="87"/>
      <c r="BO62" s="70" t="str">
        <f t="shared" si="88"/>
        <v>X</v>
      </c>
      <c r="BP62" s="74">
        <f t="shared" si="89"/>
        <v>0</v>
      </c>
      <c r="BQ62" s="87"/>
      <c r="BR62" s="87"/>
      <c r="BS62" s="70" t="str">
        <f t="shared" si="90"/>
        <v>X</v>
      </c>
      <c r="BT62" s="74">
        <f t="shared" si="91"/>
        <v>0</v>
      </c>
      <c r="BU62" s="87"/>
      <c r="BV62" s="87"/>
      <c r="BW62" s="70" t="str">
        <f t="shared" si="92"/>
        <v>X</v>
      </c>
      <c r="BX62" s="74">
        <f t="shared" si="93"/>
        <v>0</v>
      </c>
      <c r="BY62" s="87"/>
      <c r="BZ62" s="87"/>
      <c r="CA62" s="70" t="str">
        <f t="shared" si="94"/>
        <v>X</v>
      </c>
      <c r="CB62" s="74">
        <f t="shared" si="95"/>
        <v>0</v>
      </c>
      <c r="CC62" s="87"/>
      <c r="CD62" s="87"/>
      <c r="CE62" s="70" t="str">
        <f t="shared" si="96"/>
        <v>X</v>
      </c>
      <c r="CF62" s="74">
        <f t="shared" si="97"/>
        <v>0</v>
      </c>
      <c r="CG62" s="87"/>
      <c r="CH62" s="87"/>
      <c r="CI62" s="70" t="str">
        <f t="shared" si="98"/>
        <v>X</v>
      </c>
      <c r="CJ62" s="74">
        <f t="shared" si="99"/>
        <v>0</v>
      </c>
      <c r="CK62" s="88"/>
      <c r="CL62" s="88"/>
      <c r="CM62" s="70" t="str">
        <f t="shared" si="100"/>
        <v>X</v>
      </c>
      <c r="CN62" s="74">
        <f t="shared" si="101"/>
        <v>0</v>
      </c>
      <c r="CO62" s="87"/>
      <c r="CP62" s="87"/>
      <c r="CQ62" s="70" t="str">
        <f t="shared" si="102"/>
        <v>X</v>
      </c>
      <c r="CR62" s="74">
        <f t="shared" si="103"/>
        <v>0</v>
      </c>
      <c r="CS62" s="87"/>
      <c r="CT62" s="87"/>
      <c r="CU62" s="70" t="str">
        <f t="shared" si="104"/>
        <v>X</v>
      </c>
      <c r="CV62" s="74">
        <f t="shared" si="105"/>
        <v>0</v>
      </c>
      <c r="CW62" s="87"/>
      <c r="CX62" s="87"/>
      <c r="CY62" s="70" t="str">
        <f t="shared" si="106"/>
        <v>X</v>
      </c>
      <c r="CZ62" s="74">
        <f t="shared" si="107"/>
        <v>0</v>
      </c>
      <c r="DA62" s="87"/>
      <c r="DB62" s="87"/>
      <c r="DC62" s="70" t="str">
        <f t="shared" si="108"/>
        <v>X</v>
      </c>
      <c r="DD62" s="74">
        <f t="shared" si="109"/>
        <v>0</v>
      </c>
      <c r="DE62" s="87"/>
      <c r="DF62" s="87"/>
      <c r="DG62" s="70" t="str">
        <f t="shared" si="110"/>
        <v>X</v>
      </c>
      <c r="DH62" s="74">
        <f t="shared" si="111"/>
        <v>0</v>
      </c>
      <c r="DI62" s="87"/>
      <c r="DJ62" s="87"/>
      <c r="DK62" s="70" t="str">
        <f t="shared" si="112"/>
        <v>X</v>
      </c>
      <c r="DL62" s="74">
        <f t="shared" si="113"/>
        <v>0</v>
      </c>
      <c r="DM62" s="87"/>
      <c r="DN62" s="87"/>
      <c r="DO62" s="70" t="str">
        <f t="shared" si="56"/>
        <v>X</v>
      </c>
      <c r="DP62" s="74">
        <f t="shared" si="57"/>
        <v>0</v>
      </c>
    </row>
    <row r="63" spans="1:120" ht="16" customHeight="1" thickBot="1">
      <c r="A63" s="130">
        <v>44739</v>
      </c>
      <c r="B63" s="131" t="s">
        <v>104</v>
      </c>
      <c r="C63" s="85" t="s">
        <v>86</v>
      </c>
      <c r="D63" s="85" t="s">
        <v>83</v>
      </c>
      <c r="E63" s="84">
        <f t="shared" si="58"/>
        <v>0</v>
      </c>
      <c r="F63" s="23"/>
      <c r="G63" s="5"/>
      <c r="H63" s="77" t="b">
        <f t="shared" si="59"/>
        <v>0</v>
      </c>
      <c r="I63" s="87"/>
      <c r="J63" s="87"/>
      <c r="K63" s="70" t="str">
        <f t="shared" si="60"/>
        <v>X</v>
      </c>
      <c r="L63" s="74">
        <f t="shared" si="61"/>
        <v>0</v>
      </c>
      <c r="M63" s="87"/>
      <c r="N63" s="87"/>
      <c r="O63" s="70" t="str">
        <f t="shared" si="62"/>
        <v>X</v>
      </c>
      <c r="P63" s="74">
        <f t="shared" si="63"/>
        <v>0</v>
      </c>
      <c r="Q63" s="87"/>
      <c r="R63" s="87"/>
      <c r="S63" s="70" t="str">
        <f t="shared" si="64"/>
        <v>X</v>
      </c>
      <c r="T63" s="74">
        <f t="shared" si="65"/>
        <v>0</v>
      </c>
      <c r="U63" s="87"/>
      <c r="V63" s="87"/>
      <c r="W63" s="70" t="str">
        <f t="shared" si="66"/>
        <v>X</v>
      </c>
      <c r="X63" s="74">
        <f t="shared" si="67"/>
        <v>0</v>
      </c>
      <c r="Y63" s="87"/>
      <c r="Z63" s="87"/>
      <c r="AA63" s="70" t="str">
        <f t="shared" si="68"/>
        <v>X</v>
      </c>
      <c r="AB63" s="74">
        <f t="shared" si="69"/>
        <v>0</v>
      </c>
      <c r="AC63" s="87"/>
      <c r="AD63" s="87"/>
      <c r="AE63" s="70" t="str">
        <f t="shared" si="70"/>
        <v>X</v>
      </c>
      <c r="AF63" s="74">
        <f t="shared" si="71"/>
        <v>0</v>
      </c>
      <c r="AG63" s="87"/>
      <c r="AH63" s="87"/>
      <c r="AI63" s="70" t="str">
        <f t="shared" si="72"/>
        <v>X</v>
      </c>
      <c r="AJ63" s="74">
        <f t="shared" si="73"/>
        <v>0</v>
      </c>
      <c r="AK63" s="87"/>
      <c r="AL63" s="87"/>
      <c r="AM63" s="70" t="str">
        <f t="shared" si="74"/>
        <v>X</v>
      </c>
      <c r="AN63" s="74">
        <f t="shared" si="75"/>
        <v>0</v>
      </c>
      <c r="AO63" s="87"/>
      <c r="AP63" s="87"/>
      <c r="AQ63" s="70" t="str">
        <f t="shared" si="76"/>
        <v>X</v>
      </c>
      <c r="AR63" s="74">
        <f t="shared" si="77"/>
        <v>0</v>
      </c>
      <c r="AS63" s="88"/>
      <c r="AT63" s="88"/>
      <c r="AU63" s="70" t="str">
        <f t="shared" si="78"/>
        <v>X</v>
      </c>
      <c r="AV63" s="74">
        <f t="shared" si="79"/>
        <v>0</v>
      </c>
      <c r="AW63" s="87"/>
      <c r="AX63" s="87"/>
      <c r="AY63" s="70" t="str">
        <f t="shared" si="80"/>
        <v>X</v>
      </c>
      <c r="AZ63" s="74">
        <f t="shared" si="81"/>
        <v>0</v>
      </c>
      <c r="BA63" s="91"/>
      <c r="BB63" s="91"/>
      <c r="BC63" s="70" t="str">
        <f t="shared" si="82"/>
        <v>X</v>
      </c>
      <c r="BD63" s="74">
        <f t="shared" si="83"/>
        <v>0</v>
      </c>
      <c r="BE63" s="87"/>
      <c r="BF63" s="87"/>
      <c r="BG63" s="70" t="str">
        <f t="shared" si="84"/>
        <v>X</v>
      </c>
      <c r="BH63" s="74">
        <f t="shared" si="85"/>
        <v>0</v>
      </c>
      <c r="BI63" s="87"/>
      <c r="BJ63" s="87"/>
      <c r="BK63" s="70" t="str">
        <f t="shared" si="86"/>
        <v>X</v>
      </c>
      <c r="BL63" s="74">
        <f t="shared" si="87"/>
        <v>0</v>
      </c>
      <c r="BM63" s="87"/>
      <c r="BN63" s="87"/>
      <c r="BO63" s="70" t="str">
        <f t="shared" si="88"/>
        <v>X</v>
      </c>
      <c r="BP63" s="74">
        <f t="shared" si="89"/>
        <v>0</v>
      </c>
      <c r="BQ63" s="87"/>
      <c r="BR63" s="87"/>
      <c r="BS63" s="70" t="str">
        <f t="shared" si="90"/>
        <v>X</v>
      </c>
      <c r="BT63" s="74">
        <f t="shared" si="91"/>
        <v>0</v>
      </c>
      <c r="BU63" s="87"/>
      <c r="BV63" s="87"/>
      <c r="BW63" s="70" t="str">
        <f t="shared" si="92"/>
        <v>X</v>
      </c>
      <c r="BX63" s="74">
        <f t="shared" si="93"/>
        <v>0</v>
      </c>
      <c r="BY63" s="87"/>
      <c r="BZ63" s="87"/>
      <c r="CA63" s="70" t="str">
        <f t="shared" si="94"/>
        <v>X</v>
      </c>
      <c r="CB63" s="74">
        <f t="shared" si="95"/>
        <v>0</v>
      </c>
      <c r="CC63" s="87"/>
      <c r="CD63" s="87"/>
      <c r="CE63" s="70" t="str">
        <f t="shared" si="96"/>
        <v>X</v>
      </c>
      <c r="CF63" s="74">
        <f t="shared" si="97"/>
        <v>0</v>
      </c>
      <c r="CG63" s="87"/>
      <c r="CH63" s="87"/>
      <c r="CI63" s="70" t="str">
        <f t="shared" si="98"/>
        <v>X</v>
      </c>
      <c r="CJ63" s="74">
        <f t="shared" si="99"/>
        <v>0</v>
      </c>
      <c r="CK63" s="88"/>
      <c r="CL63" s="88"/>
      <c r="CM63" s="70" t="str">
        <f t="shared" si="100"/>
        <v>X</v>
      </c>
      <c r="CN63" s="74">
        <f t="shared" si="101"/>
        <v>0</v>
      </c>
      <c r="CO63" s="87"/>
      <c r="CP63" s="87"/>
      <c r="CQ63" s="70" t="str">
        <f t="shared" si="102"/>
        <v>X</v>
      </c>
      <c r="CR63" s="74">
        <f t="shared" si="103"/>
        <v>0</v>
      </c>
      <c r="CS63" s="87"/>
      <c r="CT63" s="87"/>
      <c r="CU63" s="70" t="str">
        <f t="shared" si="104"/>
        <v>X</v>
      </c>
      <c r="CV63" s="74">
        <f t="shared" si="105"/>
        <v>0</v>
      </c>
      <c r="CW63" s="87"/>
      <c r="CX63" s="87"/>
      <c r="CY63" s="70" t="str">
        <f t="shared" si="106"/>
        <v>X</v>
      </c>
      <c r="CZ63" s="74">
        <f t="shared" si="107"/>
        <v>0</v>
      </c>
      <c r="DA63" s="87"/>
      <c r="DB63" s="87"/>
      <c r="DC63" s="70" t="str">
        <f t="shared" si="108"/>
        <v>X</v>
      </c>
      <c r="DD63" s="74">
        <f t="shared" si="109"/>
        <v>0</v>
      </c>
      <c r="DE63" s="87"/>
      <c r="DF63" s="87"/>
      <c r="DG63" s="70" t="str">
        <f t="shared" si="110"/>
        <v>X</v>
      </c>
      <c r="DH63" s="74">
        <f t="shared" si="111"/>
        <v>0</v>
      </c>
      <c r="DI63" s="87"/>
      <c r="DJ63" s="87"/>
      <c r="DK63" s="70" t="str">
        <f t="shared" si="112"/>
        <v>X</v>
      </c>
      <c r="DL63" s="74">
        <f t="shared" si="113"/>
        <v>0</v>
      </c>
      <c r="DM63" s="87"/>
      <c r="DN63" s="87"/>
      <c r="DO63" s="70" t="str">
        <f t="shared" si="56"/>
        <v>X</v>
      </c>
      <c r="DP63" s="74">
        <f t="shared" si="57"/>
        <v>0</v>
      </c>
    </row>
    <row r="64" spans="1:120" ht="16" customHeight="1" thickBot="1">
      <c r="A64" s="130">
        <v>44728</v>
      </c>
      <c r="B64" s="131" t="s">
        <v>111</v>
      </c>
      <c r="C64" s="85" t="s">
        <v>87</v>
      </c>
      <c r="D64" s="85" t="s">
        <v>88</v>
      </c>
      <c r="E64" s="84">
        <f t="shared" si="58"/>
        <v>0</v>
      </c>
      <c r="F64" s="23"/>
      <c r="G64" s="5"/>
      <c r="H64" s="77" t="b">
        <f t="shared" si="59"/>
        <v>0</v>
      </c>
      <c r="I64" s="87">
        <v>2</v>
      </c>
      <c r="J64" s="87">
        <v>0</v>
      </c>
      <c r="K64" s="70" t="str">
        <f t="shared" si="60"/>
        <v>1</v>
      </c>
      <c r="L64" s="74">
        <f t="shared" si="61"/>
        <v>0</v>
      </c>
      <c r="M64" s="87">
        <v>1</v>
      </c>
      <c r="N64" s="87">
        <v>0</v>
      </c>
      <c r="O64" s="70" t="str">
        <f t="shared" si="62"/>
        <v>1</v>
      </c>
      <c r="P64" s="74">
        <f t="shared" si="63"/>
        <v>0</v>
      </c>
      <c r="Q64" s="87">
        <v>3</v>
      </c>
      <c r="R64" s="87">
        <v>0</v>
      </c>
      <c r="S64" s="70" t="str">
        <f t="shared" si="64"/>
        <v>1</v>
      </c>
      <c r="T64" s="74">
        <f t="shared" si="65"/>
        <v>0</v>
      </c>
      <c r="U64" s="87">
        <v>2</v>
      </c>
      <c r="V64" s="87">
        <v>0</v>
      </c>
      <c r="W64" s="70" t="str">
        <f t="shared" si="66"/>
        <v>1</v>
      </c>
      <c r="X64" s="74">
        <f t="shared" si="67"/>
        <v>0</v>
      </c>
      <c r="Y64" s="87">
        <v>3</v>
      </c>
      <c r="Z64" s="87">
        <v>0</v>
      </c>
      <c r="AA64" s="70" t="str">
        <f t="shared" si="68"/>
        <v>1</v>
      </c>
      <c r="AB64" s="74">
        <f t="shared" si="69"/>
        <v>0</v>
      </c>
      <c r="AC64" s="87">
        <v>3</v>
      </c>
      <c r="AD64" s="87">
        <v>1</v>
      </c>
      <c r="AE64" s="70" t="str">
        <f t="shared" si="70"/>
        <v>1</v>
      </c>
      <c r="AF64" s="74">
        <f t="shared" si="71"/>
        <v>0</v>
      </c>
      <c r="AG64" s="87">
        <v>3</v>
      </c>
      <c r="AH64" s="87">
        <v>0</v>
      </c>
      <c r="AI64" s="70" t="str">
        <f t="shared" si="72"/>
        <v>1</v>
      </c>
      <c r="AJ64" s="74">
        <f t="shared" si="73"/>
        <v>0</v>
      </c>
      <c r="AK64" s="87">
        <v>3</v>
      </c>
      <c r="AL64" s="87">
        <v>0</v>
      </c>
      <c r="AM64" s="70" t="str">
        <f t="shared" si="74"/>
        <v>1</v>
      </c>
      <c r="AN64" s="74">
        <f t="shared" si="75"/>
        <v>0</v>
      </c>
      <c r="AO64" s="87">
        <v>3</v>
      </c>
      <c r="AP64" s="87">
        <v>0</v>
      </c>
      <c r="AQ64" s="70" t="str">
        <f t="shared" si="76"/>
        <v>1</v>
      </c>
      <c r="AR64" s="74">
        <f t="shared" si="77"/>
        <v>0</v>
      </c>
      <c r="AS64" s="88">
        <v>4</v>
      </c>
      <c r="AT64" s="88">
        <v>0</v>
      </c>
      <c r="AU64" s="70" t="str">
        <f t="shared" si="78"/>
        <v>1</v>
      </c>
      <c r="AV64" s="74">
        <f t="shared" si="79"/>
        <v>0</v>
      </c>
      <c r="AW64" s="87">
        <v>4</v>
      </c>
      <c r="AX64" s="87">
        <v>0</v>
      </c>
      <c r="AY64" s="70" t="str">
        <f t="shared" si="80"/>
        <v>1</v>
      </c>
      <c r="AZ64" s="74">
        <f t="shared" si="81"/>
        <v>0</v>
      </c>
      <c r="BA64" s="91">
        <v>2</v>
      </c>
      <c r="BB64" s="91">
        <v>0</v>
      </c>
      <c r="BC64" s="70" t="str">
        <f t="shared" si="82"/>
        <v>1</v>
      </c>
      <c r="BD64" s="74">
        <f t="shared" si="83"/>
        <v>0</v>
      </c>
      <c r="BE64" s="87">
        <v>2</v>
      </c>
      <c r="BF64" s="87">
        <v>0</v>
      </c>
      <c r="BG64" s="70" t="str">
        <f t="shared" si="84"/>
        <v>1</v>
      </c>
      <c r="BH64" s="74">
        <f t="shared" si="85"/>
        <v>0</v>
      </c>
      <c r="BI64" s="87">
        <v>3</v>
      </c>
      <c r="BJ64" s="87">
        <v>0</v>
      </c>
      <c r="BK64" s="70" t="str">
        <f t="shared" si="86"/>
        <v>1</v>
      </c>
      <c r="BL64" s="74">
        <f t="shared" si="87"/>
        <v>0</v>
      </c>
      <c r="BM64" s="87">
        <v>2</v>
      </c>
      <c r="BN64" s="87">
        <v>0</v>
      </c>
      <c r="BO64" s="70" t="str">
        <f t="shared" si="88"/>
        <v>1</v>
      </c>
      <c r="BP64" s="74">
        <f t="shared" si="89"/>
        <v>0</v>
      </c>
      <c r="BQ64" s="87">
        <v>2</v>
      </c>
      <c r="BR64" s="87">
        <v>0</v>
      </c>
      <c r="BS64" s="70" t="str">
        <f t="shared" si="90"/>
        <v>1</v>
      </c>
      <c r="BT64" s="74">
        <f t="shared" si="91"/>
        <v>0</v>
      </c>
      <c r="BU64" s="87">
        <v>3</v>
      </c>
      <c r="BV64" s="87">
        <v>0</v>
      </c>
      <c r="BW64" s="70" t="str">
        <f t="shared" si="92"/>
        <v>1</v>
      </c>
      <c r="BX64" s="74">
        <f t="shared" si="93"/>
        <v>0</v>
      </c>
      <c r="BY64" s="87">
        <v>3</v>
      </c>
      <c r="BZ64" s="87">
        <v>0</v>
      </c>
      <c r="CA64" s="70" t="str">
        <f t="shared" si="94"/>
        <v>1</v>
      </c>
      <c r="CB64" s="74">
        <f t="shared" si="95"/>
        <v>0</v>
      </c>
      <c r="CC64" s="87">
        <v>4</v>
      </c>
      <c r="CD64" s="87">
        <v>0</v>
      </c>
      <c r="CE64" s="70" t="str">
        <f t="shared" si="96"/>
        <v>1</v>
      </c>
      <c r="CF64" s="74">
        <f t="shared" si="97"/>
        <v>0</v>
      </c>
      <c r="CG64" s="87">
        <v>3</v>
      </c>
      <c r="CH64" s="87">
        <v>0</v>
      </c>
      <c r="CI64" s="70" t="str">
        <f t="shared" si="98"/>
        <v>1</v>
      </c>
      <c r="CJ64" s="74">
        <f t="shared" si="99"/>
        <v>0</v>
      </c>
      <c r="CK64" s="88">
        <v>5</v>
      </c>
      <c r="CL64" s="88">
        <v>0</v>
      </c>
      <c r="CM64" s="70" t="str">
        <f t="shared" si="100"/>
        <v>1</v>
      </c>
      <c r="CN64" s="74">
        <f t="shared" si="101"/>
        <v>0</v>
      </c>
      <c r="CO64" s="87">
        <v>3</v>
      </c>
      <c r="CP64" s="87">
        <v>0</v>
      </c>
      <c r="CQ64" s="70" t="str">
        <f t="shared" si="102"/>
        <v>1</v>
      </c>
      <c r="CR64" s="74">
        <f t="shared" si="103"/>
        <v>0</v>
      </c>
      <c r="CS64" s="87">
        <v>2</v>
      </c>
      <c r="CT64" s="87">
        <v>0</v>
      </c>
      <c r="CU64" s="70" t="str">
        <f t="shared" si="104"/>
        <v>1</v>
      </c>
      <c r="CV64" s="74">
        <f t="shared" si="105"/>
        <v>0</v>
      </c>
      <c r="CW64" s="87">
        <v>3</v>
      </c>
      <c r="CX64" s="87">
        <v>0</v>
      </c>
      <c r="CY64" s="70" t="str">
        <f t="shared" si="106"/>
        <v>1</v>
      </c>
      <c r="CZ64" s="74">
        <f t="shared" si="107"/>
        <v>0</v>
      </c>
      <c r="DA64" s="87">
        <v>2</v>
      </c>
      <c r="DB64" s="87">
        <v>1</v>
      </c>
      <c r="DC64" s="70" t="str">
        <f t="shared" si="108"/>
        <v>1</v>
      </c>
      <c r="DD64" s="74">
        <f t="shared" si="109"/>
        <v>0</v>
      </c>
      <c r="DE64" s="87">
        <v>5</v>
      </c>
      <c r="DF64" s="87">
        <v>0</v>
      </c>
      <c r="DG64" s="70" t="str">
        <f t="shared" si="110"/>
        <v>1</v>
      </c>
      <c r="DH64" s="74">
        <f t="shared" si="111"/>
        <v>0</v>
      </c>
      <c r="DI64" s="87">
        <v>2</v>
      </c>
      <c r="DJ64" s="87">
        <v>1</v>
      </c>
      <c r="DK64" s="70" t="str">
        <f t="shared" si="112"/>
        <v>1</v>
      </c>
      <c r="DL64" s="74">
        <f t="shared" si="113"/>
        <v>0</v>
      </c>
      <c r="DM64" s="87">
        <v>1</v>
      </c>
      <c r="DN64" s="87">
        <v>0</v>
      </c>
      <c r="DO64" s="70" t="str">
        <f t="shared" si="56"/>
        <v>1</v>
      </c>
      <c r="DP64" s="74">
        <f t="shared" si="57"/>
        <v>0</v>
      </c>
    </row>
    <row r="65" spans="1:120" ht="16" customHeight="1" thickBot="1">
      <c r="A65" s="130">
        <v>44729</v>
      </c>
      <c r="B65" s="131" t="s">
        <v>104</v>
      </c>
      <c r="C65" s="85" t="s">
        <v>89</v>
      </c>
      <c r="D65" s="85" t="s">
        <v>90</v>
      </c>
      <c r="E65" s="84">
        <f t="shared" si="58"/>
        <v>0</v>
      </c>
      <c r="F65" s="23"/>
      <c r="G65" s="5"/>
      <c r="H65" s="77" t="b">
        <f t="shared" si="59"/>
        <v>0</v>
      </c>
      <c r="I65" s="87">
        <v>0</v>
      </c>
      <c r="J65" s="87">
        <v>2</v>
      </c>
      <c r="K65" s="70" t="str">
        <f t="shared" si="60"/>
        <v>2</v>
      </c>
      <c r="L65" s="74">
        <f t="shared" si="61"/>
        <v>0</v>
      </c>
      <c r="M65" s="87">
        <v>1</v>
      </c>
      <c r="N65" s="87">
        <v>2</v>
      </c>
      <c r="O65" s="70" t="str">
        <f t="shared" si="62"/>
        <v>2</v>
      </c>
      <c r="P65" s="74">
        <f t="shared" si="63"/>
        <v>0</v>
      </c>
      <c r="Q65" s="87">
        <v>1</v>
      </c>
      <c r="R65" s="87">
        <v>2</v>
      </c>
      <c r="S65" s="70" t="str">
        <f t="shared" si="64"/>
        <v>2</v>
      </c>
      <c r="T65" s="74">
        <f t="shared" si="65"/>
        <v>0</v>
      </c>
      <c r="U65" s="87">
        <v>0</v>
      </c>
      <c r="V65" s="87">
        <v>2</v>
      </c>
      <c r="W65" s="70" t="str">
        <f t="shared" si="66"/>
        <v>2</v>
      </c>
      <c r="X65" s="74">
        <f t="shared" si="67"/>
        <v>0</v>
      </c>
      <c r="Y65" s="87">
        <v>1</v>
      </c>
      <c r="Z65" s="87">
        <v>3</v>
      </c>
      <c r="AA65" s="70" t="str">
        <f t="shared" si="68"/>
        <v>2</v>
      </c>
      <c r="AB65" s="74">
        <f t="shared" si="69"/>
        <v>0</v>
      </c>
      <c r="AC65" s="87">
        <v>0</v>
      </c>
      <c r="AD65" s="87">
        <v>2</v>
      </c>
      <c r="AE65" s="70" t="str">
        <f t="shared" si="70"/>
        <v>2</v>
      </c>
      <c r="AF65" s="74">
        <f t="shared" si="71"/>
        <v>0</v>
      </c>
      <c r="AG65" s="87">
        <v>1</v>
      </c>
      <c r="AH65" s="87">
        <v>3</v>
      </c>
      <c r="AI65" s="70" t="str">
        <f t="shared" si="72"/>
        <v>2</v>
      </c>
      <c r="AJ65" s="74">
        <f t="shared" si="73"/>
        <v>0</v>
      </c>
      <c r="AK65" s="87">
        <v>0</v>
      </c>
      <c r="AL65" s="87">
        <v>3</v>
      </c>
      <c r="AM65" s="70" t="str">
        <f t="shared" si="74"/>
        <v>2</v>
      </c>
      <c r="AN65" s="74">
        <f t="shared" si="75"/>
        <v>0</v>
      </c>
      <c r="AO65" s="87">
        <v>1</v>
      </c>
      <c r="AP65" s="87">
        <v>2</v>
      </c>
      <c r="AQ65" s="70" t="str">
        <f t="shared" si="76"/>
        <v>2</v>
      </c>
      <c r="AR65" s="74">
        <f t="shared" si="77"/>
        <v>0</v>
      </c>
      <c r="AS65" s="88">
        <v>0</v>
      </c>
      <c r="AT65" s="88">
        <v>2</v>
      </c>
      <c r="AU65" s="70" t="str">
        <f t="shared" si="78"/>
        <v>2</v>
      </c>
      <c r="AV65" s="74">
        <f t="shared" si="79"/>
        <v>0</v>
      </c>
      <c r="AW65" s="87">
        <v>1</v>
      </c>
      <c r="AX65" s="87">
        <v>2</v>
      </c>
      <c r="AY65" s="70" t="str">
        <f t="shared" si="80"/>
        <v>2</v>
      </c>
      <c r="AZ65" s="74">
        <f t="shared" si="81"/>
        <v>0</v>
      </c>
      <c r="BA65" s="91">
        <v>0</v>
      </c>
      <c r="BB65" s="91">
        <v>2</v>
      </c>
      <c r="BC65" s="70" t="str">
        <f t="shared" si="82"/>
        <v>2</v>
      </c>
      <c r="BD65" s="74">
        <f t="shared" si="83"/>
        <v>0</v>
      </c>
      <c r="BE65" s="87">
        <v>0</v>
      </c>
      <c r="BF65" s="87">
        <v>2</v>
      </c>
      <c r="BG65" s="70" t="str">
        <f t="shared" si="84"/>
        <v>2</v>
      </c>
      <c r="BH65" s="74">
        <f t="shared" si="85"/>
        <v>0</v>
      </c>
      <c r="BI65" s="87">
        <v>0</v>
      </c>
      <c r="BJ65" s="87">
        <v>3</v>
      </c>
      <c r="BK65" s="70" t="str">
        <f t="shared" si="86"/>
        <v>2</v>
      </c>
      <c r="BL65" s="74">
        <f t="shared" si="87"/>
        <v>0</v>
      </c>
      <c r="BM65" s="87">
        <v>0</v>
      </c>
      <c r="BN65" s="87">
        <v>1</v>
      </c>
      <c r="BO65" s="70" t="str">
        <f t="shared" si="88"/>
        <v>2</v>
      </c>
      <c r="BP65" s="74">
        <f t="shared" si="89"/>
        <v>0</v>
      </c>
      <c r="BQ65" s="87">
        <v>1</v>
      </c>
      <c r="BR65" s="87">
        <v>2</v>
      </c>
      <c r="BS65" s="70" t="str">
        <f t="shared" si="90"/>
        <v>2</v>
      </c>
      <c r="BT65" s="74">
        <f t="shared" si="91"/>
        <v>0</v>
      </c>
      <c r="BU65" s="87">
        <v>1</v>
      </c>
      <c r="BV65" s="87">
        <v>2</v>
      </c>
      <c r="BW65" s="70" t="str">
        <f t="shared" si="92"/>
        <v>2</v>
      </c>
      <c r="BX65" s="74">
        <f t="shared" si="93"/>
        <v>0</v>
      </c>
      <c r="BY65" s="87">
        <v>2</v>
      </c>
      <c r="BZ65" s="87">
        <v>1</v>
      </c>
      <c r="CA65" s="70" t="str">
        <f t="shared" si="94"/>
        <v>1</v>
      </c>
      <c r="CB65" s="74">
        <f t="shared" si="95"/>
        <v>0</v>
      </c>
      <c r="CC65" s="87">
        <v>1</v>
      </c>
      <c r="CD65" s="87">
        <v>2</v>
      </c>
      <c r="CE65" s="70" t="str">
        <f t="shared" si="96"/>
        <v>2</v>
      </c>
      <c r="CF65" s="74">
        <f t="shared" si="97"/>
        <v>0</v>
      </c>
      <c r="CG65" s="87">
        <v>1</v>
      </c>
      <c r="CH65" s="87">
        <v>2</v>
      </c>
      <c r="CI65" s="70" t="str">
        <f t="shared" si="98"/>
        <v>2</v>
      </c>
      <c r="CJ65" s="74">
        <f t="shared" si="99"/>
        <v>0</v>
      </c>
      <c r="CK65" s="88">
        <v>0</v>
      </c>
      <c r="CL65" s="88">
        <v>1</v>
      </c>
      <c r="CM65" s="70" t="str">
        <f t="shared" si="100"/>
        <v>2</v>
      </c>
      <c r="CN65" s="74">
        <f t="shared" si="101"/>
        <v>0</v>
      </c>
      <c r="CO65" s="87">
        <v>0</v>
      </c>
      <c r="CP65" s="87">
        <v>2</v>
      </c>
      <c r="CQ65" s="70" t="str">
        <f t="shared" si="102"/>
        <v>2</v>
      </c>
      <c r="CR65" s="74">
        <f t="shared" si="103"/>
        <v>0</v>
      </c>
      <c r="CS65" s="87">
        <v>0</v>
      </c>
      <c r="CT65" s="87">
        <v>3</v>
      </c>
      <c r="CU65" s="70" t="str">
        <f t="shared" si="104"/>
        <v>2</v>
      </c>
      <c r="CV65" s="74">
        <f t="shared" si="105"/>
        <v>0</v>
      </c>
      <c r="CW65" s="87">
        <v>0</v>
      </c>
      <c r="CX65" s="87">
        <v>2</v>
      </c>
      <c r="CY65" s="70" t="str">
        <f t="shared" si="106"/>
        <v>2</v>
      </c>
      <c r="CZ65" s="74">
        <f t="shared" si="107"/>
        <v>0</v>
      </c>
      <c r="DA65" s="87">
        <v>1</v>
      </c>
      <c r="DB65" s="87">
        <v>2</v>
      </c>
      <c r="DC65" s="70" t="str">
        <f t="shared" si="108"/>
        <v>2</v>
      </c>
      <c r="DD65" s="74">
        <f t="shared" si="109"/>
        <v>0</v>
      </c>
      <c r="DE65" s="87">
        <v>2</v>
      </c>
      <c r="DF65" s="87">
        <v>2</v>
      </c>
      <c r="DG65" s="70" t="str">
        <f t="shared" si="110"/>
        <v>X</v>
      </c>
      <c r="DH65" s="74">
        <f t="shared" si="111"/>
        <v>0</v>
      </c>
      <c r="DI65" s="87">
        <v>0</v>
      </c>
      <c r="DJ65" s="87">
        <v>2</v>
      </c>
      <c r="DK65" s="70" t="str">
        <f t="shared" si="112"/>
        <v>2</v>
      </c>
      <c r="DL65" s="74">
        <f t="shared" si="113"/>
        <v>0</v>
      </c>
      <c r="DM65" s="87">
        <v>1</v>
      </c>
      <c r="DN65" s="87">
        <v>3</v>
      </c>
      <c r="DO65" s="70" t="str">
        <f t="shared" si="56"/>
        <v>2</v>
      </c>
      <c r="DP65" s="74">
        <f t="shared" si="57"/>
        <v>0</v>
      </c>
    </row>
    <row r="66" spans="1:120" ht="16" customHeight="1" thickBot="1">
      <c r="A66" s="130">
        <v>44734</v>
      </c>
      <c r="B66" s="131" t="s">
        <v>111</v>
      </c>
      <c r="C66" s="85" t="s">
        <v>87</v>
      </c>
      <c r="D66" s="85" t="s">
        <v>89</v>
      </c>
      <c r="E66" s="84">
        <f t="shared" si="58"/>
        <v>0</v>
      </c>
      <c r="F66" s="23"/>
      <c r="G66" s="5"/>
      <c r="H66" s="77" t="b">
        <f t="shared" si="59"/>
        <v>0</v>
      </c>
      <c r="I66" s="87">
        <v>3</v>
      </c>
      <c r="J66" s="87">
        <v>0</v>
      </c>
      <c r="K66" s="70" t="str">
        <f t="shared" si="60"/>
        <v>1</v>
      </c>
      <c r="L66" s="74">
        <f t="shared" si="61"/>
        <v>0</v>
      </c>
      <c r="M66" s="87">
        <v>3</v>
      </c>
      <c r="N66" s="87">
        <v>1</v>
      </c>
      <c r="O66" s="70" t="str">
        <f t="shared" si="62"/>
        <v>1</v>
      </c>
      <c r="P66" s="74">
        <f t="shared" si="63"/>
        <v>0</v>
      </c>
      <c r="Q66" s="87">
        <v>2</v>
      </c>
      <c r="R66" s="87">
        <v>0</v>
      </c>
      <c r="S66" s="70" t="str">
        <f t="shared" si="64"/>
        <v>1</v>
      </c>
      <c r="T66" s="74">
        <f t="shared" si="65"/>
        <v>0</v>
      </c>
      <c r="U66" s="87">
        <v>2</v>
      </c>
      <c r="V66" s="87">
        <v>0</v>
      </c>
      <c r="W66" s="70" t="str">
        <f t="shared" si="66"/>
        <v>1</v>
      </c>
      <c r="X66" s="74">
        <f t="shared" si="67"/>
        <v>0</v>
      </c>
      <c r="Y66" s="87">
        <v>2</v>
      </c>
      <c r="Z66" s="87">
        <v>0</v>
      </c>
      <c r="AA66" s="70" t="str">
        <f t="shared" si="68"/>
        <v>1</v>
      </c>
      <c r="AB66" s="74">
        <f t="shared" si="69"/>
        <v>0</v>
      </c>
      <c r="AC66" s="87">
        <v>3</v>
      </c>
      <c r="AD66" s="87">
        <v>0</v>
      </c>
      <c r="AE66" s="70" t="str">
        <f t="shared" si="70"/>
        <v>1</v>
      </c>
      <c r="AF66" s="74">
        <f t="shared" si="71"/>
        <v>0</v>
      </c>
      <c r="AG66" s="87">
        <v>2</v>
      </c>
      <c r="AH66" s="87">
        <v>0</v>
      </c>
      <c r="AI66" s="70" t="str">
        <f t="shared" si="72"/>
        <v>1</v>
      </c>
      <c r="AJ66" s="74">
        <f t="shared" si="73"/>
        <v>0</v>
      </c>
      <c r="AK66" s="87">
        <v>5</v>
      </c>
      <c r="AL66" s="87">
        <v>0</v>
      </c>
      <c r="AM66" s="70" t="str">
        <f t="shared" si="74"/>
        <v>1</v>
      </c>
      <c r="AN66" s="74">
        <f t="shared" si="75"/>
        <v>0</v>
      </c>
      <c r="AO66" s="87">
        <v>3</v>
      </c>
      <c r="AP66" s="87">
        <v>1</v>
      </c>
      <c r="AQ66" s="70" t="str">
        <f t="shared" si="76"/>
        <v>1</v>
      </c>
      <c r="AR66" s="74">
        <f t="shared" si="77"/>
        <v>0</v>
      </c>
      <c r="AS66" s="88">
        <v>3</v>
      </c>
      <c r="AT66" s="88">
        <v>0</v>
      </c>
      <c r="AU66" s="70" t="str">
        <f t="shared" si="78"/>
        <v>1</v>
      </c>
      <c r="AV66" s="74">
        <f t="shared" si="79"/>
        <v>0</v>
      </c>
      <c r="AW66" s="87">
        <v>3</v>
      </c>
      <c r="AX66" s="87">
        <v>0</v>
      </c>
      <c r="AY66" s="70" t="str">
        <f t="shared" si="80"/>
        <v>1</v>
      </c>
      <c r="AZ66" s="74">
        <f t="shared" si="81"/>
        <v>0</v>
      </c>
      <c r="BA66" s="91">
        <v>3</v>
      </c>
      <c r="BB66" s="91">
        <v>0</v>
      </c>
      <c r="BC66" s="70" t="str">
        <f t="shared" si="82"/>
        <v>1</v>
      </c>
      <c r="BD66" s="74">
        <f t="shared" si="83"/>
        <v>0</v>
      </c>
      <c r="BE66" s="87">
        <v>2</v>
      </c>
      <c r="BF66" s="87">
        <v>0</v>
      </c>
      <c r="BG66" s="70" t="str">
        <f t="shared" si="84"/>
        <v>1</v>
      </c>
      <c r="BH66" s="74">
        <f t="shared" si="85"/>
        <v>0</v>
      </c>
      <c r="BI66" s="87">
        <v>3</v>
      </c>
      <c r="BJ66" s="87">
        <v>0</v>
      </c>
      <c r="BK66" s="70" t="str">
        <f t="shared" si="86"/>
        <v>1</v>
      </c>
      <c r="BL66" s="74">
        <f t="shared" si="87"/>
        <v>0</v>
      </c>
      <c r="BM66" s="87">
        <v>3</v>
      </c>
      <c r="BN66" s="87">
        <v>0</v>
      </c>
      <c r="BO66" s="70" t="str">
        <f t="shared" si="88"/>
        <v>1</v>
      </c>
      <c r="BP66" s="74">
        <f t="shared" si="89"/>
        <v>0</v>
      </c>
      <c r="BQ66" s="87">
        <v>3</v>
      </c>
      <c r="BR66" s="87">
        <v>0</v>
      </c>
      <c r="BS66" s="70" t="str">
        <f t="shared" si="90"/>
        <v>1</v>
      </c>
      <c r="BT66" s="74">
        <f t="shared" si="91"/>
        <v>0</v>
      </c>
      <c r="BU66" s="87">
        <v>2</v>
      </c>
      <c r="BV66" s="87">
        <v>0</v>
      </c>
      <c r="BW66" s="70" t="str">
        <f t="shared" si="92"/>
        <v>1</v>
      </c>
      <c r="BX66" s="74">
        <f t="shared" si="93"/>
        <v>0</v>
      </c>
      <c r="BY66" s="87">
        <v>2</v>
      </c>
      <c r="BZ66" s="87">
        <v>0</v>
      </c>
      <c r="CA66" s="70" t="str">
        <f t="shared" si="94"/>
        <v>1</v>
      </c>
      <c r="CB66" s="74">
        <f t="shared" si="95"/>
        <v>0</v>
      </c>
      <c r="CC66" s="87">
        <v>3</v>
      </c>
      <c r="CD66" s="87">
        <v>1</v>
      </c>
      <c r="CE66" s="70" t="str">
        <f t="shared" si="96"/>
        <v>1</v>
      </c>
      <c r="CF66" s="74">
        <f t="shared" si="97"/>
        <v>0</v>
      </c>
      <c r="CG66" s="87">
        <v>2</v>
      </c>
      <c r="CH66" s="87">
        <v>0</v>
      </c>
      <c r="CI66" s="70" t="str">
        <f t="shared" si="98"/>
        <v>1</v>
      </c>
      <c r="CJ66" s="74">
        <f t="shared" si="99"/>
        <v>0</v>
      </c>
      <c r="CK66" s="88">
        <v>4</v>
      </c>
      <c r="CL66" s="88">
        <v>0</v>
      </c>
      <c r="CM66" s="70" t="str">
        <f t="shared" si="100"/>
        <v>1</v>
      </c>
      <c r="CN66" s="74">
        <f t="shared" si="101"/>
        <v>0</v>
      </c>
      <c r="CO66" s="87">
        <v>2</v>
      </c>
      <c r="CP66" s="87">
        <v>0</v>
      </c>
      <c r="CQ66" s="70" t="str">
        <f t="shared" si="102"/>
        <v>1</v>
      </c>
      <c r="CR66" s="74">
        <f t="shared" si="103"/>
        <v>0</v>
      </c>
      <c r="CS66" s="87">
        <v>3</v>
      </c>
      <c r="CT66" s="87">
        <v>0</v>
      </c>
      <c r="CU66" s="70" t="str">
        <f t="shared" si="104"/>
        <v>1</v>
      </c>
      <c r="CV66" s="74">
        <f t="shared" si="105"/>
        <v>0</v>
      </c>
      <c r="CW66" s="87">
        <v>3</v>
      </c>
      <c r="CX66" s="87">
        <v>0</v>
      </c>
      <c r="CY66" s="70" t="str">
        <f t="shared" si="106"/>
        <v>1</v>
      </c>
      <c r="CZ66" s="74">
        <f t="shared" si="107"/>
        <v>0</v>
      </c>
      <c r="DA66" s="87">
        <v>3</v>
      </c>
      <c r="DB66" s="87">
        <v>1</v>
      </c>
      <c r="DC66" s="70" t="str">
        <f t="shared" si="108"/>
        <v>1</v>
      </c>
      <c r="DD66" s="74">
        <f t="shared" si="109"/>
        <v>0</v>
      </c>
      <c r="DE66" s="87">
        <v>2</v>
      </c>
      <c r="DF66" s="87">
        <v>1</v>
      </c>
      <c r="DG66" s="70" t="str">
        <f t="shared" si="110"/>
        <v>1</v>
      </c>
      <c r="DH66" s="74">
        <f t="shared" si="111"/>
        <v>0</v>
      </c>
      <c r="DI66" s="87">
        <v>4</v>
      </c>
      <c r="DJ66" s="87">
        <v>0</v>
      </c>
      <c r="DK66" s="70" t="str">
        <f t="shared" si="112"/>
        <v>1</v>
      </c>
      <c r="DL66" s="74">
        <f t="shared" si="113"/>
        <v>0</v>
      </c>
      <c r="DM66" s="87">
        <v>2</v>
      </c>
      <c r="DN66" s="87">
        <v>1</v>
      </c>
      <c r="DO66" s="70" t="str">
        <f t="shared" si="56"/>
        <v>1</v>
      </c>
      <c r="DP66" s="74">
        <f t="shared" si="57"/>
        <v>0</v>
      </c>
    </row>
    <row r="67" spans="1:120" ht="16" customHeight="1" thickBot="1">
      <c r="A67" s="130">
        <v>44735</v>
      </c>
      <c r="B67" s="131" t="s">
        <v>104</v>
      </c>
      <c r="C67" s="85" t="s">
        <v>90</v>
      </c>
      <c r="D67" s="85" t="s">
        <v>88</v>
      </c>
      <c r="E67" s="84">
        <f t="shared" si="58"/>
        <v>0</v>
      </c>
      <c r="F67" s="23"/>
      <c r="G67" s="5"/>
      <c r="H67" s="77" t="b">
        <f t="shared" si="59"/>
        <v>0</v>
      </c>
      <c r="I67" s="87">
        <v>1</v>
      </c>
      <c r="J67" s="87">
        <v>1</v>
      </c>
      <c r="K67" s="70" t="str">
        <f t="shared" si="60"/>
        <v>X</v>
      </c>
      <c r="L67" s="74">
        <f t="shared" si="61"/>
        <v>0</v>
      </c>
      <c r="M67" s="87">
        <v>2</v>
      </c>
      <c r="N67" s="87">
        <v>0</v>
      </c>
      <c r="O67" s="70" t="str">
        <f t="shared" si="62"/>
        <v>1</v>
      </c>
      <c r="P67" s="74">
        <f t="shared" si="63"/>
        <v>0</v>
      </c>
      <c r="Q67" s="87">
        <v>2</v>
      </c>
      <c r="R67" s="87">
        <v>0</v>
      </c>
      <c r="S67" s="70" t="str">
        <f t="shared" si="64"/>
        <v>1</v>
      </c>
      <c r="T67" s="74">
        <f t="shared" si="65"/>
        <v>0</v>
      </c>
      <c r="U67" s="87">
        <v>2</v>
      </c>
      <c r="V67" s="87">
        <v>0</v>
      </c>
      <c r="W67" s="70" t="str">
        <f t="shared" si="66"/>
        <v>1</v>
      </c>
      <c r="X67" s="74">
        <f t="shared" si="67"/>
        <v>0</v>
      </c>
      <c r="Y67" s="87">
        <v>1</v>
      </c>
      <c r="Z67" s="87">
        <v>0</v>
      </c>
      <c r="AA67" s="70" t="str">
        <f t="shared" si="68"/>
        <v>1</v>
      </c>
      <c r="AB67" s="74">
        <f t="shared" si="69"/>
        <v>0</v>
      </c>
      <c r="AC67" s="87">
        <v>1</v>
      </c>
      <c r="AD67" s="87">
        <v>0</v>
      </c>
      <c r="AE67" s="70" t="str">
        <f t="shared" si="70"/>
        <v>1</v>
      </c>
      <c r="AF67" s="74">
        <f t="shared" si="71"/>
        <v>0</v>
      </c>
      <c r="AG67" s="87">
        <v>1</v>
      </c>
      <c r="AH67" s="87">
        <v>0</v>
      </c>
      <c r="AI67" s="70" t="str">
        <f t="shared" si="72"/>
        <v>1</v>
      </c>
      <c r="AJ67" s="74">
        <f t="shared" si="73"/>
        <v>0</v>
      </c>
      <c r="AK67" s="87">
        <v>2</v>
      </c>
      <c r="AL67" s="87">
        <v>0</v>
      </c>
      <c r="AM67" s="70" t="str">
        <f t="shared" si="74"/>
        <v>1</v>
      </c>
      <c r="AN67" s="74">
        <f t="shared" si="75"/>
        <v>0</v>
      </c>
      <c r="AO67" s="87">
        <v>4</v>
      </c>
      <c r="AP67" s="87">
        <v>0</v>
      </c>
      <c r="AQ67" s="70" t="str">
        <f t="shared" si="76"/>
        <v>1</v>
      </c>
      <c r="AR67" s="74">
        <f t="shared" si="77"/>
        <v>0</v>
      </c>
      <c r="AS67" s="88">
        <v>2</v>
      </c>
      <c r="AT67" s="88">
        <v>1</v>
      </c>
      <c r="AU67" s="70" t="str">
        <f t="shared" si="78"/>
        <v>1</v>
      </c>
      <c r="AV67" s="74">
        <f t="shared" si="79"/>
        <v>0</v>
      </c>
      <c r="AW67" s="87">
        <v>3</v>
      </c>
      <c r="AX67" s="87">
        <v>0</v>
      </c>
      <c r="AY67" s="70" t="str">
        <f t="shared" si="80"/>
        <v>1</v>
      </c>
      <c r="AZ67" s="74">
        <f t="shared" si="81"/>
        <v>0</v>
      </c>
      <c r="BA67" s="91">
        <v>2</v>
      </c>
      <c r="BB67" s="91">
        <v>1</v>
      </c>
      <c r="BC67" s="70" t="str">
        <f t="shared" si="82"/>
        <v>1</v>
      </c>
      <c r="BD67" s="74">
        <f t="shared" si="83"/>
        <v>0</v>
      </c>
      <c r="BE67" s="87">
        <v>2</v>
      </c>
      <c r="BF67" s="87">
        <v>1</v>
      </c>
      <c r="BG67" s="70" t="str">
        <f t="shared" si="84"/>
        <v>1</v>
      </c>
      <c r="BH67" s="74">
        <f t="shared" si="85"/>
        <v>0</v>
      </c>
      <c r="BI67" s="87">
        <v>3</v>
      </c>
      <c r="BJ67" s="87">
        <v>0</v>
      </c>
      <c r="BK67" s="70" t="str">
        <f t="shared" si="86"/>
        <v>1</v>
      </c>
      <c r="BL67" s="74">
        <f t="shared" si="87"/>
        <v>0</v>
      </c>
      <c r="BM67" s="87">
        <v>1</v>
      </c>
      <c r="BN67" s="87">
        <v>1</v>
      </c>
      <c r="BO67" s="70" t="str">
        <f t="shared" si="88"/>
        <v>X</v>
      </c>
      <c r="BP67" s="74">
        <f t="shared" si="89"/>
        <v>0</v>
      </c>
      <c r="BQ67" s="87">
        <v>2</v>
      </c>
      <c r="BR67" s="87">
        <v>1</v>
      </c>
      <c r="BS67" s="70" t="str">
        <f t="shared" si="90"/>
        <v>1</v>
      </c>
      <c r="BT67" s="74">
        <f t="shared" si="91"/>
        <v>0</v>
      </c>
      <c r="BU67" s="87">
        <v>3</v>
      </c>
      <c r="BV67" s="87">
        <v>1</v>
      </c>
      <c r="BW67" s="70" t="str">
        <f t="shared" si="92"/>
        <v>1</v>
      </c>
      <c r="BX67" s="74">
        <f t="shared" si="93"/>
        <v>0</v>
      </c>
      <c r="BY67" s="87">
        <v>2</v>
      </c>
      <c r="BZ67" s="87">
        <v>0</v>
      </c>
      <c r="CA67" s="70" t="str">
        <f t="shared" si="94"/>
        <v>1</v>
      </c>
      <c r="CB67" s="74">
        <f t="shared" si="95"/>
        <v>0</v>
      </c>
      <c r="CC67" s="87">
        <v>2</v>
      </c>
      <c r="CD67" s="87">
        <v>0</v>
      </c>
      <c r="CE67" s="70" t="str">
        <f t="shared" si="96"/>
        <v>1</v>
      </c>
      <c r="CF67" s="74">
        <f t="shared" si="97"/>
        <v>0</v>
      </c>
      <c r="CG67" s="87">
        <v>2</v>
      </c>
      <c r="CH67" s="87">
        <v>1</v>
      </c>
      <c r="CI67" s="70" t="str">
        <f t="shared" si="98"/>
        <v>1</v>
      </c>
      <c r="CJ67" s="74">
        <f t="shared" si="99"/>
        <v>0</v>
      </c>
      <c r="CK67" s="88">
        <v>2</v>
      </c>
      <c r="CL67" s="88">
        <v>1</v>
      </c>
      <c r="CM67" s="70" t="str">
        <f t="shared" si="100"/>
        <v>1</v>
      </c>
      <c r="CN67" s="74">
        <f t="shared" si="101"/>
        <v>0</v>
      </c>
      <c r="CO67" s="87">
        <v>1</v>
      </c>
      <c r="CP67" s="87">
        <v>0</v>
      </c>
      <c r="CQ67" s="70" t="str">
        <f t="shared" si="102"/>
        <v>1</v>
      </c>
      <c r="CR67" s="74">
        <f t="shared" si="103"/>
        <v>0</v>
      </c>
      <c r="CS67" s="87">
        <v>2</v>
      </c>
      <c r="CT67" s="87">
        <v>1</v>
      </c>
      <c r="CU67" s="70" t="str">
        <f t="shared" si="104"/>
        <v>1</v>
      </c>
      <c r="CV67" s="74">
        <f t="shared" si="105"/>
        <v>0</v>
      </c>
      <c r="CW67" s="87">
        <v>2</v>
      </c>
      <c r="CX67" s="87">
        <v>1</v>
      </c>
      <c r="CY67" s="70" t="str">
        <f t="shared" si="106"/>
        <v>1</v>
      </c>
      <c r="CZ67" s="74">
        <f t="shared" si="107"/>
        <v>0</v>
      </c>
      <c r="DA67" s="87">
        <v>2</v>
      </c>
      <c r="DB67" s="87">
        <v>1</v>
      </c>
      <c r="DC67" s="70" t="str">
        <f t="shared" si="108"/>
        <v>1</v>
      </c>
      <c r="DD67" s="74">
        <f t="shared" si="109"/>
        <v>0</v>
      </c>
      <c r="DE67" s="87">
        <v>3</v>
      </c>
      <c r="DF67" s="87">
        <v>0</v>
      </c>
      <c r="DG67" s="70" t="str">
        <f t="shared" si="110"/>
        <v>1</v>
      </c>
      <c r="DH67" s="74">
        <f t="shared" si="111"/>
        <v>0</v>
      </c>
      <c r="DI67" s="87">
        <v>1</v>
      </c>
      <c r="DJ67" s="87">
        <v>1</v>
      </c>
      <c r="DK67" s="70" t="str">
        <f t="shared" si="112"/>
        <v>X</v>
      </c>
      <c r="DL67" s="74">
        <f t="shared" si="113"/>
        <v>0</v>
      </c>
      <c r="DM67" s="87">
        <v>1</v>
      </c>
      <c r="DN67" s="87">
        <v>0</v>
      </c>
      <c r="DO67" s="70" t="str">
        <f t="shared" si="56"/>
        <v>1</v>
      </c>
      <c r="DP67" s="74">
        <f t="shared" si="57"/>
        <v>0</v>
      </c>
    </row>
    <row r="68" spans="1:120" ht="16" customHeight="1" thickBot="1">
      <c r="A68" s="130">
        <v>44739</v>
      </c>
      <c r="B68" s="131" t="s">
        <v>116</v>
      </c>
      <c r="C68" s="85" t="s">
        <v>90</v>
      </c>
      <c r="D68" s="85" t="s">
        <v>87</v>
      </c>
      <c r="E68" s="84">
        <f t="shared" ref="E68:E75" si="114">L68+P68+T68+X68+AB68+AF68+AJ68+AN68+AR68+AV68+AZ68+BD68+BH68+BL68+BP68+BT68+BX68+CB68+CF68+CJ68+CN68+CR68+CV68+CZ68+DD68+DH68+DL68</f>
        <v>0</v>
      </c>
      <c r="F68" s="23"/>
      <c r="G68" s="5"/>
      <c r="H68" s="77" t="b">
        <f t="shared" ref="H68:H75" si="115">IF(ISNUMBER(F68),IF(F68&gt;G68,"1",IF(F68&lt;G68,"2","X")))</f>
        <v>0</v>
      </c>
      <c r="I68" s="87"/>
      <c r="J68" s="87"/>
      <c r="K68" s="70" t="str">
        <f t="shared" ref="K68:K75" si="116">IF(I68&gt;J68,"1",IF(I68&lt;J68,"2","X"))</f>
        <v>X</v>
      </c>
      <c r="L68" s="74">
        <f t="shared" ref="L68:L75" si="117">IF(K68=$H68,IF(I68=$F68,IF(J68=$G68,IF($F68-$G68&gt;=3,6,IF($G68-$F68&gt;=3,6,IF($F68+$G68&gt;=4,6,5))),3),3),0)</f>
        <v>0</v>
      </c>
      <c r="M68" s="87"/>
      <c r="N68" s="87"/>
      <c r="O68" s="70" t="str">
        <f t="shared" ref="O68:O75" si="118">IF(M68&gt;N68,"1",IF(M68&lt;N68,"2","X"))</f>
        <v>X</v>
      </c>
      <c r="P68" s="74">
        <f t="shared" ref="P68:P75" si="119">IF(O68=$H68,IF(M68=$F68,IF(N68=$G68,IF($F68-$G68&gt;=3,6,IF($G68-$F68&gt;=3,6,IF($F68+$G68&gt;=4,6,5))),3),3),0)</f>
        <v>0</v>
      </c>
      <c r="Q68" s="87"/>
      <c r="R68" s="87"/>
      <c r="S68" s="70" t="str">
        <f t="shared" ref="S68:S75" si="120">IF(Q68&gt;R68,"1",IF(Q68&lt;R68,"2","X"))</f>
        <v>X</v>
      </c>
      <c r="T68" s="74">
        <f t="shared" ref="T68:T75" si="121">IF(S68=$H68,IF(Q68=$F68,IF(R68=$G68,IF($F68-$G68&gt;=3,6,IF($G68-$F68&gt;=3,6,IF($F68+$G68&gt;=4,6,5))),3),3),0)</f>
        <v>0</v>
      </c>
      <c r="U68" s="87"/>
      <c r="V68" s="87"/>
      <c r="W68" s="70" t="str">
        <f t="shared" ref="W68:W75" si="122">IF(U68&gt;V68,"1",IF(U68&lt;V68,"2","X"))</f>
        <v>X</v>
      </c>
      <c r="X68" s="74">
        <f t="shared" ref="X68:X75" si="123">IF(W68=$H68,IF(U68=$F68,IF(V68=$G68,IF($F68-$G68&gt;=3,6,IF($G68-$F68&gt;=3,6,IF($F68+$G68&gt;=4,6,5))),3),3),0)</f>
        <v>0</v>
      </c>
      <c r="Y68" s="87"/>
      <c r="Z68" s="87"/>
      <c r="AA68" s="70" t="str">
        <f t="shared" ref="AA68:AA75" si="124">IF(Y68&gt;Z68,"1",IF(Y68&lt;Z68,"2","X"))</f>
        <v>X</v>
      </c>
      <c r="AB68" s="74">
        <f t="shared" ref="AB68:AB75" si="125">IF(AA68=$H68,IF(Y68=$F68,IF(Z68=$G68,IF($F68-$G68&gt;=3,6,IF($G68-$F68&gt;=3,6,IF($F68+$G68&gt;=4,6,5))),3),3),0)</f>
        <v>0</v>
      </c>
      <c r="AC68" s="87"/>
      <c r="AD68" s="87"/>
      <c r="AE68" s="70" t="str">
        <f t="shared" ref="AE68:AE75" si="126">IF(AC68&gt;AD68,"1",IF(AC68&lt;AD68,"2","X"))</f>
        <v>X</v>
      </c>
      <c r="AF68" s="74">
        <f t="shared" ref="AF68:AF75" si="127">IF(AE68=$H68,IF(AC68=$F68,IF(AD68=$G68,IF($F68-$G68&gt;=3,6,IF($G68-$F68&gt;=3,6,IF($F68+$G68&gt;=4,6,5))),3),3),0)</f>
        <v>0</v>
      </c>
      <c r="AG68" s="87"/>
      <c r="AH68" s="87"/>
      <c r="AI68" s="70" t="str">
        <f t="shared" ref="AI68:AI75" si="128">IF(AG68&gt;AH68,"1",IF(AG68&lt;AH68,"2","X"))</f>
        <v>X</v>
      </c>
      <c r="AJ68" s="74">
        <f t="shared" ref="AJ68:AJ75" si="129">IF(AI68=$H68,IF(AG68=$F68,IF(AH68=$G68,IF($F68-$G68&gt;=3,6,IF($G68-$F68&gt;=3,6,IF($F68+$G68&gt;=4,6,5))),3),3),0)</f>
        <v>0</v>
      </c>
      <c r="AK68" s="87"/>
      <c r="AL68" s="87"/>
      <c r="AM68" s="70" t="str">
        <f t="shared" ref="AM68:AM75" si="130">IF(AK68&gt;AL68,"1",IF(AK68&lt;AL68,"2","X"))</f>
        <v>X</v>
      </c>
      <c r="AN68" s="74">
        <f t="shared" ref="AN68:AN75" si="131">IF(AM68=$H68,IF(AK68=$F68,IF(AL68=$G68,IF($F68-$G68&gt;=3,6,IF($G68-$F68&gt;=3,6,IF($F68+$G68&gt;=4,6,5))),3),3),0)</f>
        <v>0</v>
      </c>
      <c r="AO68" s="87"/>
      <c r="AP68" s="87"/>
      <c r="AQ68" s="70" t="str">
        <f t="shared" ref="AQ68:AQ75" si="132">IF(AO68&gt;AP68,"1",IF(AO68&lt;AP68,"2","X"))</f>
        <v>X</v>
      </c>
      <c r="AR68" s="74">
        <f t="shared" ref="AR68:AR75" si="133">IF(AQ68=$H68,IF(AO68=$F68,IF(AP68=$G68,IF($F68-$G68&gt;=3,6,IF($G68-$F68&gt;=3,6,IF($F68+$G68&gt;=4,6,5))),3),3),0)</f>
        <v>0</v>
      </c>
      <c r="AS68" s="88"/>
      <c r="AT68" s="88"/>
      <c r="AU68" s="70" t="str">
        <f t="shared" ref="AU68:AU75" si="134">IF(AS68&gt;AT68,"1",IF(AS68&lt;AT68,"2","X"))</f>
        <v>X</v>
      </c>
      <c r="AV68" s="74">
        <f t="shared" ref="AV68:AV75" si="135">IF(AU68=$H68,IF(AS68=$F68,IF(AT68=$G68,IF($F68-$G68&gt;=3,6,IF($G68-$F68&gt;=3,6,IF($F68+$G68&gt;=4,6,5))),3),3),0)</f>
        <v>0</v>
      </c>
      <c r="AW68" s="87"/>
      <c r="AX68" s="87"/>
      <c r="AY68" s="70" t="str">
        <f t="shared" ref="AY68:AY75" si="136">IF(AW68&gt;AX68,"1",IF(AW68&lt;AX68,"2","X"))</f>
        <v>X</v>
      </c>
      <c r="AZ68" s="74">
        <f t="shared" ref="AZ68:AZ75" si="137">IF(AY68=$H68,IF(AW68=$F68,IF(AX68=$G68,IF($F68-$G68&gt;=3,6,IF($G68-$F68&gt;=3,6,IF($F68+$G68&gt;=4,6,5))),3),3),0)</f>
        <v>0</v>
      </c>
      <c r="BA68" s="91"/>
      <c r="BB68" s="91"/>
      <c r="BC68" s="70" t="str">
        <f t="shared" ref="BC68:BC75" si="138">IF(BA68&gt;BB68,"1",IF(BA68&lt;BB68,"2","X"))</f>
        <v>X</v>
      </c>
      <c r="BD68" s="74">
        <f t="shared" ref="BD68:BD75" si="139">IF(BC68=$H68,IF(BA68=$F68,IF(BB68=$G68,IF($F68-$G68&gt;=3,6,IF($G68-$F68&gt;=3,6,IF($F68+$G68&gt;=4,6,5))),3),3),0)</f>
        <v>0</v>
      </c>
      <c r="BE68" s="87"/>
      <c r="BF68" s="87"/>
      <c r="BG68" s="70" t="str">
        <f t="shared" ref="BG68:BG75" si="140">IF(BE68&gt;BF68,"1",IF(BE68&lt;BF68,"2","X"))</f>
        <v>X</v>
      </c>
      <c r="BH68" s="74">
        <f t="shared" ref="BH68:BH75" si="141">IF(BG68=$H68,IF(BE68=$F68,IF(BF68=$G68,IF($F68-$G68&gt;=3,6,IF($G68-$F68&gt;=3,6,IF($F68+$G68&gt;=4,6,5))),3),3),0)</f>
        <v>0</v>
      </c>
      <c r="BI68" s="87"/>
      <c r="BJ68" s="87"/>
      <c r="BK68" s="70" t="str">
        <f t="shared" ref="BK68:BK75" si="142">IF(BI68&gt;BJ68,"1",IF(BI68&lt;BJ68,"2","X"))</f>
        <v>X</v>
      </c>
      <c r="BL68" s="74">
        <f t="shared" ref="BL68:BL75" si="143">IF(BK68=$H68,IF(BI68=$F68,IF(BJ68=$G68,IF($F68-$G68&gt;=3,6,IF($G68-$F68&gt;=3,6,IF($F68+$G68&gt;=4,6,5))),3),3),0)</f>
        <v>0</v>
      </c>
      <c r="BM68" s="87"/>
      <c r="BN68" s="87"/>
      <c r="BO68" s="70" t="str">
        <f t="shared" ref="BO68:BO75" si="144">IF(BM68&gt;BN68,"1",IF(BM68&lt;BN68,"2","X"))</f>
        <v>X</v>
      </c>
      <c r="BP68" s="74">
        <f t="shared" ref="BP68:BP75" si="145">IF(BO68=$H68,IF(BM68=$F68,IF(BN68=$G68,IF($F68-$G68&gt;=3,6,IF($G68-$F68&gt;=3,6,IF($F68+$G68&gt;=4,6,5))),3),3),0)</f>
        <v>0</v>
      </c>
      <c r="BQ68" s="87"/>
      <c r="BR68" s="87"/>
      <c r="BS68" s="70" t="str">
        <f t="shared" ref="BS68:BS75" si="146">IF(BQ68&gt;BR68,"1",IF(BQ68&lt;BR68,"2","X"))</f>
        <v>X</v>
      </c>
      <c r="BT68" s="74">
        <f t="shared" ref="BT68:BT75" si="147">IF(BS68=$H68,IF(BQ68=$F68,IF(BR68=$G68,IF($F68-$G68&gt;=3,6,IF($G68-$F68&gt;=3,6,IF($F68+$G68&gt;=4,6,5))),3),3),0)</f>
        <v>0</v>
      </c>
      <c r="BU68" s="87"/>
      <c r="BV68" s="87"/>
      <c r="BW68" s="70" t="str">
        <f t="shared" ref="BW68:BW75" si="148">IF(BU68&gt;BV68,"1",IF(BU68&lt;BV68,"2","X"))</f>
        <v>X</v>
      </c>
      <c r="BX68" s="74">
        <f t="shared" ref="BX68:BX75" si="149">IF(BW68=$H68,IF(BU68=$F68,IF(BV68=$G68,IF($F68-$G68&gt;=3,6,IF($G68-$F68&gt;=3,6,IF($F68+$G68&gt;=4,6,5))),3),3),0)</f>
        <v>0</v>
      </c>
      <c r="BY68" s="87"/>
      <c r="BZ68" s="87"/>
      <c r="CA68" s="70" t="str">
        <f t="shared" ref="CA68:CA75" si="150">IF(BY68&gt;BZ68,"1",IF(BY68&lt;BZ68,"2","X"))</f>
        <v>X</v>
      </c>
      <c r="CB68" s="74">
        <f t="shared" ref="CB68:CB75" si="151">IF(CA68=$H68,IF(BY68=$F68,IF(BZ68=$G68,IF($F68-$G68&gt;=3,6,IF($G68-$F68&gt;=3,6,IF($F68+$G68&gt;=4,6,5))),3),3),0)</f>
        <v>0</v>
      </c>
      <c r="CC68" s="87"/>
      <c r="CD68" s="87"/>
      <c r="CE68" s="70" t="str">
        <f t="shared" ref="CE68:CE75" si="152">IF(CC68&gt;CD68,"1",IF(CC68&lt;CD68,"2","X"))</f>
        <v>X</v>
      </c>
      <c r="CF68" s="74">
        <f t="shared" ref="CF68:CF75" si="153">IF(CE68=$H68,IF(CC68=$F68,IF(CD68=$G68,IF($F68-$G68&gt;=3,6,IF($G68-$F68&gt;=3,6,IF($F68+$G68&gt;=4,6,5))),3),3),0)</f>
        <v>0</v>
      </c>
      <c r="CG68" s="87"/>
      <c r="CH68" s="87"/>
      <c r="CI68" s="70" t="str">
        <f t="shared" ref="CI68:CI75" si="154">IF(CG68&gt;CH68,"1",IF(CG68&lt;CH68,"2","X"))</f>
        <v>X</v>
      </c>
      <c r="CJ68" s="74">
        <f t="shared" ref="CJ68:CJ75" si="155">IF(CI68=$H68,IF(CG68=$F68,IF(CH68=$G68,IF($F68-$G68&gt;=3,6,IF($G68-$F68&gt;=3,6,IF($F68+$G68&gt;=4,6,5))),3),3),0)</f>
        <v>0</v>
      </c>
      <c r="CK68" s="88"/>
      <c r="CL68" s="88"/>
      <c r="CM68" s="70" t="str">
        <f t="shared" ref="CM68:CM75" si="156">IF(CK68&gt;CL68,"1",IF(CK68&lt;CL68,"2","X"))</f>
        <v>X</v>
      </c>
      <c r="CN68" s="74">
        <f t="shared" ref="CN68:CN75" si="157">IF(CM68=$H68,IF(CK68=$F68,IF(CL68=$G68,IF($F68-$G68&gt;=3,6,IF($G68-$F68&gt;=3,6,IF($F68+$G68&gt;=4,6,5))),3),3),0)</f>
        <v>0</v>
      </c>
      <c r="CO68" s="87"/>
      <c r="CP68" s="87"/>
      <c r="CQ68" s="70" t="str">
        <f t="shared" ref="CQ68:CQ75" si="158">IF(CO68&gt;CP68,"1",IF(CO68&lt;CP68,"2","X"))</f>
        <v>X</v>
      </c>
      <c r="CR68" s="74">
        <f t="shared" ref="CR68:CR75" si="159">IF(CQ68=$H68,IF(CO68=$F68,IF(CP68=$G68,IF($F68-$G68&gt;=3,6,IF($G68-$F68&gt;=3,6,IF($F68+$G68&gt;=4,6,5))),3),3),0)</f>
        <v>0</v>
      </c>
      <c r="CS68" s="87"/>
      <c r="CT68" s="87"/>
      <c r="CU68" s="70" t="str">
        <f t="shared" ref="CU68:CU75" si="160">IF(CS68&gt;CT68,"1",IF(CS68&lt;CT68,"2","X"))</f>
        <v>X</v>
      </c>
      <c r="CV68" s="74">
        <f t="shared" ref="CV68:CV75" si="161">IF(CU68=$H68,IF(CS68=$F68,IF(CT68=$G68,IF($F68-$G68&gt;=3,6,IF($G68-$F68&gt;=3,6,IF($F68+$G68&gt;=4,6,5))),3),3),0)</f>
        <v>0</v>
      </c>
      <c r="CW68" s="87"/>
      <c r="CX68" s="87"/>
      <c r="CY68" s="70" t="str">
        <f t="shared" ref="CY68:CY75" si="162">IF(CW68&gt;CX68,"1",IF(CW68&lt;CX68,"2","X"))</f>
        <v>X</v>
      </c>
      <c r="CZ68" s="74">
        <f t="shared" ref="CZ68:CZ75" si="163">IF(CY68=$H68,IF(CW68=$F68,IF(CX68=$G68,IF($F68-$G68&gt;=3,6,IF($G68-$F68&gt;=3,6,IF($F68+$G68&gt;=4,6,5))),3),3),0)</f>
        <v>0</v>
      </c>
      <c r="DA68" s="87"/>
      <c r="DB68" s="87"/>
      <c r="DC68" s="70" t="str">
        <f t="shared" ref="DC68:DC75" si="164">IF(DA68&gt;DB68,"1",IF(DA68&lt;DB68,"2","X"))</f>
        <v>X</v>
      </c>
      <c r="DD68" s="74">
        <f t="shared" ref="DD68:DD75" si="165">IF(DC68=$H68,IF(DA68=$F68,IF(DB68=$G68,IF($F68-$G68&gt;=3,6,IF($G68-$F68&gt;=3,6,IF($F68+$G68&gt;=4,6,5))),3),3),0)</f>
        <v>0</v>
      </c>
      <c r="DE68" s="87"/>
      <c r="DF68" s="87"/>
      <c r="DG68" s="70" t="str">
        <f t="shared" ref="DG68:DG75" si="166">IF(DE68&gt;DF68,"1",IF(DE68&lt;DF68,"2","X"))</f>
        <v>X</v>
      </c>
      <c r="DH68" s="74">
        <f t="shared" ref="DH68:DH75" si="167">IF(DG68=$H68,IF(DE68=$F68,IF(DF68=$G68,IF($F68-$G68&gt;=3,6,IF($G68-$F68&gt;=3,6,IF($F68+$G68&gt;=4,6,5))),3),3),0)</f>
        <v>0</v>
      </c>
      <c r="DI68" s="87"/>
      <c r="DJ68" s="87"/>
      <c r="DK68" s="70" t="str">
        <f t="shared" ref="DK68:DK75" si="168">IF(DI68&gt;DJ68,"1",IF(DI68&lt;DJ68,"2","X"))</f>
        <v>X</v>
      </c>
      <c r="DL68" s="74">
        <f t="shared" ref="DL68:DL75" si="169">IF(DK68=$H68,IF(DI68=$F68,IF(DJ68=$G68,IF($F68-$G68&gt;=3,6,IF($G68-$F68&gt;=3,6,IF($F68+$G68&gt;=4,6,5))),3),3),0)</f>
        <v>0</v>
      </c>
      <c r="DM68" s="87"/>
      <c r="DN68" s="87"/>
      <c r="DO68" s="70" t="str">
        <f t="shared" ref="DO68:DO75" si="170">IF(DM68&gt;DN68,"1",IF(DM68&lt;DN68,"2","X"))</f>
        <v>X</v>
      </c>
      <c r="DP68" s="74">
        <f t="shared" ref="DP68:DP75" si="171">IF(DO68=$H68,IF(DM68=$F68,IF(DN68=$G68,IF($F68-$G68&gt;=3,6,IF($G68-$F68&gt;=3,6,IF($F68+$G68&gt;=4,6,5))),3),3),0)</f>
        <v>0</v>
      </c>
    </row>
    <row r="69" spans="1:120" ht="16" customHeight="1" thickBot="1">
      <c r="A69" s="130">
        <v>44739</v>
      </c>
      <c r="B69" s="131" t="s">
        <v>116</v>
      </c>
      <c r="C69" s="85" t="s">
        <v>88</v>
      </c>
      <c r="D69" s="85" t="s">
        <v>89</v>
      </c>
      <c r="E69" s="84">
        <f t="shared" si="114"/>
        <v>0</v>
      </c>
      <c r="F69" s="23"/>
      <c r="G69" s="5"/>
      <c r="H69" s="77" t="b">
        <f t="shared" si="115"/>
        <v>0</v>
      </c>
      <c r="I69" s="87"/>
      <c r="J69" s="87"/>
      <c r="K69" s="70" t="str">
        <f t="shared" si="116"/>
        <v>X</v>
      </c>
      <c r="L69" s="74">
        <f t="shared" si="117"/>
        <v>0</v>
      </c>
      <c r="M69" s="87"/>
      <c r="N69" s="87"/>
      <c r="O69" s="70" t="str">
        <f t="shared" si="118"/>
        <v>X</v>
      </c>
      <c r="P69" s="74">
        <f t="shared" si="119"/>
        <v>0</v>
      </c>
      <c r="Q69" s="87"/>
      <c r="R69" s="87"/>
      <c r="S69" s="70" t="str">
        <f t="shared" si="120"/>
        <v>X</v>
      </c>
      <c r="T69" s="74">
        <f t="shared" si="121"/>
        <v>0</v>
      </c>
      <c r="U69" s="87"/>
      <c r="V69" s="87"/>
      <c r="W69" s="70" t="str">
        <f t="shared" si="122"/>
        <v>X</v>
      </c>
      <c r="X69" s="74">
        <f t="shared" si="123"/>
        <v>0</v>
      </c>
      <c r="Y69" s="87"/>
      <c r="Z69" s="87"/>
      <c r="AA69" s="70" t="str">
        <f t="shared" si="124"/>
        <v>X</v>
      </c>
      <c r="AB69" s="74">
        <f t="shared" si="125"/>
        <v>0</v>
      </c>
      <c r="AC69" s="87"/>
      <c r="AD69" s="87"/>
      <c r="AE69" s="70" t="str">
        <f t="shared" si="126"/>
        <v>X</v>
      </c>
      <c r="AF69" s="74">
        <f t="shared" si="127"/>
        <v>0</v>
      </c>
      <c r="AG69" s="87"/>
      <c r="AH69" s="87"/>
      <c r="AI69" s="70" t="str">
        <f t="shared" si="128"/>
        <v>X</v>
      </c>
      <c r="AJ69" s="74">
        <f t="shared" si="129"/>
        <v>0</v>
      </c>
      <c r="AK69" s="87"/>
      <c r="AL69" s="87"/>
      <c r="AM69" s="70" t="str">
        <f t="shared" si="130"/>
        <v>X</v>
      </c>
      <c r="AN69" s="74">
        <f t="shared" si="131"/>
        <v>0</v>
      </c>
      <c r="AO69" s="87"/>
      <c r="AP69" s="87"/>
      <c r="AQ69" s="70" t="str">
        <f t="shared" si="132"/>
        <v>X</v>
      </c>
      <c r="AR69" s="74">
        <f t="shared" si="133"/>
        <v>0</v>
      </c>
      <c r="AS69" s="88"/>
      <c r="AT69" s="88"/>
      <c r="AU69" s="70" t="str">
        <f t="shared" si="134"/>
        <v>X</v>
      </c>
      <c r="AV69" s="74">
        <f t="shared" si="135"/>
        <v>0</v>
      </c>
      <c r="AW69" s="87"/>
      <c r="AX69" s="87"/>
      <c r="AY69" s="70" t="str">
        <f t="shared" si="136"/>
        <v>X</v>
      </c>
      <c r="AZ69" s="74">
        <f t="shared" si="137"/>
        <v>0</v>
      </c>
      <c r="BA69" s="91"/>
      <c r="BB69" s="91"/>
      <c r="BC69" s="70" t="str">
        <f t="shared" si="138"/>
        <v>X</v>
      </c>
      <c r="BD69" s="74">
        <f t="shared" si="139"/>
        <v>0</v>
      </c>
      <c r="BE69" s="87"/>
      <c r="BF69" s="87"/>
      <c r="BG69" s="70" t="str">
        <f t="shared" si="140"/>
        <v>X</v>
      </c>
      <c r="BH69" s="74">
        <f t="shared" si="141"/>
        <v>0</v>
      </c>
      <c r="BI69" s="87"/>
      <c r="BJ69" s="87"/>
      <c r="BK69" s="70" t="str">
        <f t="shared" si="142"/>
        <v>X</v>
      </c>
      <c r="BL69" s="74">
        <f t="shared" si="143"/>
        <v>0</v>
      </c>
      <c r="BM69" s="87"/>
      <c r="BN69" s="87"/>
      <c r="BO69" s="70" t="str">
        <f t="shared" si="144"/>
        <v>X</v>
      </c>
      <c r="BP69" s="74">
        <f t="shared" si="145"/>
        <v>0</v>
      </c>
      <c r="BQ69" s="87"/>
      <c r="BR69" s="87"/>
      <c r="BS69" s="70" t="str">
        <f t="shared" si="146"/>
        <v>X</v>
      </c>
      <c r="BT69" s="74">
        <f t="shared" si="147"/>
        <v>0</v>
      </c>
      <c r="BU69" s="87"/>
      <c r="BV69" s="87"/>
      <c r="BW69" s="70" t="str">
        <f t="shared" si="148"/>
        <v>X</v>
      </c>
      <c r="BX69" s="74">
        <f t="shared" si="149"/>
        <v>0</v>
      </c>
      <c r="BY69" s="87"/>
      <c r="BZ69" s="87"/>
      <c r="CA69" s="70" t="str">
        <f t="shared" si="150"/>
        <v>X</v>
      </c>
      <c r="CB69" s="74">
        <f t="shared" si="151"/>
        <v>0</v>
      </c>
      <c r="CC69" s="87"/>
      <c r="CD69" s="87"/>
      <c r="CE69" s="70" t="str">
        <f t="shared" si="152"/>
        <v>X</v>
      </c>
      <c r="CF69" s="74">
        <f t="shared" si="153"/>
        <v>0</v>
      </c>
      <c r="CG69" s="87"/>
      <c r="CH69" s="87"/>
      <c r="CI69" s="70" t="str">
        <f t="shared" si="154"/>
        <v>X</v>
      </c>
      <c r="CJ69" s="74">
        <f t="shared" si="155"/>
        <v>0</v>
      </c>
      <c r="CK69" s="88"/>
      <c r="CL69" s="88"/>
      <c r="CM69" s="70" t="str">
        <f t="shared" si="156"/>
        <v>X</v>
      </c>
      <c r="CN69" s="74">
        <f t="shared" si="157"/>
        <v>0</v>
      </c>
      <c r="CO69" s="87"/>
      <c r="CP69" s="87"/>
      <c r="CQ69" s="70" t="str">
        <f t="shared" si="158"/>
        <v>X</v>
      </c>
      <c r="CR69" s="74">
        <f t="shared" si="159"/>
        <v>0</v>
      </c>
      <c r="CS69" s="87"/>
      <c r="CT69" s="87"/>
      <c r="CU69" s="70" t="str">
        <f t="shared" si="160"/>
        <v>X</v>
      </c>
      <c r="CV69" s="74">
        <f t="shared" si="161"/>
        <v>0</v>
      </c>
      <c r="CW69" s="87"/>
      <c r="CX69" s="87"/>
      <c r="CY69" s="70" t="str">
        <f t="shared" si="162"/>
        <v>X</v>
      </c>
      <c r="CZ69" s="74">
        <f t="shared" si="163"/>
        <v>0</v>
      </c>
      <c r="DA69" s="87"/>
      <c r="DB69" s="87"/>
      <c r="DC69" s="70" t="str">
        <f t="shared" si="164"/>
        <v>X</v>
      </c>
      <c r="DD69" s="74">
        <f t="shared" si="165"/>
        <v>0</v>
      </c>
      <c r="DE69" s="87"/>
      <c r="DF69" s="87"/>
      <c r="DG69" s="70" t="str">
        <f t="shared" si="166"/>
        <v>X</v>
      </c>
      <c r="DH69" s="74">
        <f t="shared" si="167"/>
        <v>0</v>
      </c>
      <c r="DI69" s="87"/>
      <c r="DJ69" s="87"/>
      <c r="DK69" s="70" t="str">
        <f t="shared" si="168"/>
        <v>X</v>
      </c>
      <c r="DL69" s="74">
        <f t="shared" si="169"/>
        <v>0</v>
      </c>
      <c r="DM69" s="87"/>
      <c r="DN69" s="87"/>
      <c r="DO69" s="70" t="str">
        <f t="shared" si="170"/>
        <v>X</v>
      </c>
      <c r="DP69" s="74">
        <f t="shared" si="171"/>
        <v>0</v>
      </c>
    </row>
    <row r="70" spans="1:120" ht="16" customHeight="1" thickBot="1">
      <c r="A70" s="130">
        <v>44729</v>
      </c>
      <c r="B70" s="131" t="s">
        <v>113</v>
      </c>
      <c r="C70" s="85" t="s">
        <v>91</v>
      </c>
      <c r="D70" s="85" t="s">
        <v>92</v>
      </c>
      <c r="E70" s="84">
        <f t="shared" si="114"/>
        <v>0</v>
      </c>
      <c r="F70" s="23"/>
      <c r="G70" s="5"/>
      <c r="H70" s="77" t="b">
        <f t="shared" si="115"/>
        <v>0</v>
      </c>
      <c r="I70" s="87">
        <v>2</v>
      </c>
      <c r="J70" s="87">
        <v>1</v>
      </c>
      <c r="K70" s="70" t="str">
        <f t="shared" si="116"/>
        <v>1</v>
      </c>
      <c r="L70" s="74">
        <f t="shared" si="117"/>
        <v>0</v>
      </c>
      <c r="M70" s="87">
        <v>1</v>
      </c>
      <c r="N70" s="87">
        <v>0</v>
      </c>
      <c r="O70" s="70" t="str">
        <f t="shared" si="118"/>
        <v>1</v>
      </c>
      <c r="P70" s="74">
        <f t="shared" si="119"/>
        <v>0</v>
      </c>
      <c r="Q70" s="87">
        <v>2</v>
      </c>
      <c r="R70" s="87">
        <v>0</v>
      </c>
      <c r="S70" s="70" t="str">
        <f t="shared" si="120"/>
        <v>1</v>
      </c>
      <c r="T70" s="74">
        <f t="shared" si="121"/>
        <v>0</v>
      </c>
      <c r="U70" s="87">
        <v>1</v>
      </c>
      <c r="V70" s="87">
        <v>0</v>
      </c>
      <c r="W70" s="70" t="str">
        <f t="shared" si="122"/>
        <v>1</v>
      </c>
      <c r="X70" s="74">
        <f t="shared" si="123"/>
        <v>0</v>
      </c>
      <c r="Y70" s="87">
        <v>1</v>
      </c>
      <c r="Z70" s="87">
        <v>0</v>
      </c>
      <c r="AA70" s="70" t="str">
        <f t="shared" si="124"/>
        <v>1</v>
      </c>
      <c r="AB70" s="74">
        <f t="shared" si="125"/>
        <v>0</v>
      </c>
      <c r="AC70" s="87">
        <v>2</v>
      </c>
      <c r="AD70" s="87">
        <v>1</v>
      </c>
      <c r="AE70" s="70" t="str">
        <f t="shared" si="126"/>
        <v>1</v>
      </c>
      <c r="AF70" s="74">
        <f t="shared" si="127"/>
        <v>0</v>
      </c>
      <c r="AG70" s="87">
        <v>0</v>
      </c>
      <c r="AH70" s="87">
        <v>0</v>
      </c>
      <c r="AI70" s="70" t="str">
        <f t="shared" si="128"/>
        <v>X</v>
      </c>
      <c r="AJ70" s="74">
        <f t="shared" si="129"/>
        <v>0</v>
      </c>
      <c r="AK70" s="87">
        <v>1</v>
      </c>
      <c r="AL70" s="87">
        <v>1</v>
      </c>
      <c r="AM70" s="70" t="str">
        <f t="shared" si="130"/>
        <v>X</v>
      </c>
      <c r="AN70" s="74">
        <f t="shared" si="131"/>
        <v>0</v>
      </c>
      <c r="AO70" s="87">
        <v>2</v>
      </c>
      <c r="AP70" s="87">
        <v>0</v>
      </c>
      <c r="AQ70" s="70" t="str">
        <f t="shared" si="132"/>
        <v>1</v>
      </c>
      <c r="AR70" s="74">
        <f t="shared" si="133"/>
        <v>0</v>
      </c>
      <c r="AS70" s="88">
        <v>1</v>
      </c>
      <c r="AT70" s="88">
        <v>0</v>
      </c>
      <c r="AU70" s="70" t="str">
        <f t="shared" si="134"/>
        <v>1</v>
      </c>
      <c r="AV70" s="74">
        <f t="shared" si="135"/>
        <v>0</v>
      </c>
      <c r="AW70" s="87">
        <v>2</v>
      </c>
      <c r="AX70" s="87">
        <v>0</v>
      </c>
      <c r="AY70" s="70" t="str">
        <f t="shared" si="136"/>
        <v>1</v>
      </c>
      <c r="AZ70" s="74">
        <f t="shared" si="137"/>
        <v>0</v>
      </c>
      <c r="BA70" s="91">
        <v>1</v>
      </c>
      <c r="BB70" s="91">
        <v>1</v>
      </c>
      <c r="BC70" s="70" t="str">
        <f t="shared" si="138"/>
        <v>X</v>
      </c>
      <c r="BD70" s="74">
        <f t="shared" si="139"/>
        <v>0</v>
      </c>
      <c r="BE70" s="87">
        <v>2</v>
      </c>
      <c r="BF70" s="87">
        <v>1</v>
      </c>
      <c r="BG70" s="70" t="str">
        <f t="shared" si="140"/>
        <v>1</v>
      </c>
      <c r="BH70" s="74">
        <f t="shared" si="141"/>
        <v>0</v>
      </c>
      <c r="BI70" s="87">
        <v>2</v>
      </c>
      <c r="BJ70" s="87">
        <v>1</v>
      </c>
      <c r="BK70" s="70" t="str">
        <f t="shared" si="142"/>
        <v>1</v>
      </c>
      <c r="BL70" s="74">
        <f t="shared" si="143"/>
        <v>0</v>
      </c>
      <c r="BM70" s="87">
        <v>2</v>
      </c>
      <c r="BN70" s="87">
        <v>1</v>
      </c>
      <c r="BO70" s="70" t="str">
        <f t="shared" si="144"/>
        <v>1</v>
      </c>
      <c r="BP70" s="74">
        <f t="shared" si="145"/>
        <v>0</v>
      </c>
      <c r="BQ70" s="87">
        <v>2</v>
      </c>
      <c r="BR70" s="87">
        <v>1</v>
      </c>
      <c r="BS70" s="70" t="str">
        <f t="shared" si="146"/>
        <v>1</v>
      </c>
      <c r="BT70" s="74">
        <f t="shared" si="147"/>
        <v>0</v>
      </c>
      <c r="BU70" s="87">
        <v>2</v>
      </c>
      <c r="BV70" s="87">
        <v>1</v>
      </c>
      <c r="BW70" s="70" t="str">
        <f t="shared" si="148"/>
        <v>1</v>
      </c>
      <c r="BX70" s="74">
        <f t="shared" si="149"/>
        <v>0</v>
      </c>
      <c r="BY70" s="87">
        <v>1</v>
      </c>
      <c r="BZ70" s="87">
        <v>0</v>
      </c>
      <c r="CA70" s="70" t="str">
        <f t="shared" si="150"/>
        <v>1</v>
      </c>
      <c r="CB70" s="74">
        <f t="shared" si="151"/>
        <v>0</v>
      </c>
      <c r="CC70" s="87">
        <v>2</v>
      </c>
      <c r="CD70" s="87">
        <v>1</v>
      </c>
      <c r="CE70" s="70" t="str">
        <f t="shared" si="152"/>
        <v>1</v>
      </c>
      <c r="CF70" s="74">
        <f t="shared" si="153"/>
        <v>0</v>
      </c>
      <c r="CG70" s="87">
        <v>2</v>
      </c>
      <c r="CH70" s="87">
        <v>1</v>
      </c>
      <c r="CI70" s="70" t="str">
        <f t="shared" si="154"/>
        <v>1</v>
      </c>
      <c r="CJ70" s="74">
        <f t="shared" si="155"/>
        <v>0</v>
      </c>
      <c r="CK70" s="88">
        <v>2</v>
      </c>
      <c r="CL70" s="88">
        <v>2</v>
      </c>
      <c r="CM70" s="70" t="str">
        <f t="shared" si="156"/>
        <v>X</v>
      </c>
      <c r="CN70" s="74">
        <f t="shared" si="157"/>
        <v>0</v>
      </c>
      <c r="CO70" s="87">
        <v>1</v>
      </c>
      <c r="CP70" s="87">
        <v>1</v>
      </c>
      <c r="CQ70" s="70" t="str">
        <f t="shared" si="158"/>
        <v>X</v>
      </c>
      <c r="CR70" s="74">
        <f t="shared" si="159"/>
        <v>0</v>
      </c>
      <c r="CS70" s="87">
        <v>1</v>
      </c>
      <c r="CT70" s="87">
        <v>1</v>
      </c>
      <c r="CU70" s="70" t="str">
        <f t="shared" si="160"/>
        <v>X</v>
      </c>
      <c r="CV70" s="74">
        <f t="shared" si="161"/>
        <v>0</v>
      </c>
      <c r="CW70" s="87">
        <v>2</v>
      </c>
      <c r="CX70" s="87">
        <v>1</v>
      </c>
      <c r="CY70" s="70" t="str">
        <f t="shared" si="162"/>
        <v>1</v>
      </c>
      <c r="CZ70" s="74">
        <f t="shared" si="163"/>
        <v>0</v>
      </c>
      <c r="DA70" s="87">
        <v>2</v>
      </c>
      <c r="DB70" s="87">
        <v>1</v>
      </c>
      <c r="DC70" s="70" t="str">
        <f t="shared" si="164"/>
        <v>1</v>
      </c>
      <c r="DD70" s="74">
        <f t="shared" si="165"/>
        <v>0</v>
      </c>
      <c r="DE70" s="87">
        <v>3</v>
      </c>
      <c r="DF70" s="87">
        <v>1</v>
      </c>
      <c r="DG70" s="70" t="str">
        <f t="shared" si="166"/>
        <v>1</v>
      </c>
      <c r="DH70" s="74">
        <f t="shared" si="167"/>
        <v>0</v>
      </c>
      <c r="DI70" s="87">
        <v>2</v>
      </c>
      <c r="DJ70" s="87">
        <v>2</v>
      </c>
      <c r="DK70" s="70" t="str">
        <f t="shared" si="168"/>
        <v>X</v>
      </c>
      <c r="DL70" s="74">
        <f t="shared" si="169"/>
        <v>0</v>
      </c>
      <c r="DM70" s="87">
        <v>1</v>
      </c>
      <c r="DN70" s="87">
        <v>1</v>
      </c>
      <c r="DO70" s="70" t="str">
        <f t="shared" si="170"/>
        <v>X</v>
      </c>
      <c r="DP70" s="74">
        <f t="shared" si="171"/>
        <v>0</v>
      </c>
    </row>
    <row r="71" spans="1:120" ht="16" customHeight="1" thickBot="1">
      <c r="A71" s="130">
        <v>44729</v>
      </c>
      <c r="B71" s="131" t="s">
        <v>112</v>
      </c>
      <c r="C71" s="85" t="s">
        <v>93</v>
      </c>
      <c r="D71" s="85" t="s">
        <v>94</v>
      </c>
      <c r="E71" s="84">
        <f t="shared" si="114"/>
        <v>0</v>
      </c>
      <c r="F71" s="23"/>
      <c r="G71" s="5"/>
      <c r="H71" s="77" t="b">
        <f t="shared" si="115"/>
        <v>0</v>
      </c>
      <c r="I71" s="87">
        <v>2</v>
      </c>
      <c r="J71" s="87">
        <v>0</v>
      </c>
      <c r="K71" s="70" t="str">
        <f t="shared" si="116"/>
        <v>1</v>
      </c>
      <c r="L71" s="74">
        <f t="shared" si="117"/>
        <v>0</v>
      </c>
      <c r="M71" s="87">
        <v>1</v>
      </c>
      <c r="N71" s="87">
        <v>0</v>
      </c>
      <c r="O71" s="70" t="str">
        <f t="shared" si="118"/>
        <v>1</v>
      </c>
      <c r="P71" s="74">
        <f t="shared" si="119"/>
        <v>0</v>
      </c>
      <c r="Q71" s="87">
        <v>2</v>
      </c>
      <c r="R71" s="87">
        <v>0</v>
      </c>
      <c r="S71" s="70" t="str">
        <f t="shared" si="120"/>
        <v>1</v>
      </c>
      <c r="T71" s="74">
        <f t="shared" si="121"/>
        <v>0</v>
      </c>
      <c r="U71" s="87">
        <v>1</v>
      </c>
      <c r="V71" s="87">
        <v>1</v>
      </c>
      <c r="W71" s="70" t="str">
        <f t="shared" si="122"/>
        <v>X</v>
      </c>
      <c r="X71" s="74">
        <f t="shared" si="123"/>
        <v>0</v>
      </c>
      <c r="Y71" s="87">
        <v>1</v>
      </c>
      <c r="Z71" s="87">
        <v>0</v>
      </c>
      <c r="AA71" s="70" t="str">
        <f t="shared" si="124"/>
        <v>1</v>
      </c>
      <c r="AB71" s="74">
        <f t="shared" si="125"/>
        <v>0</v>
      </c>
      <c r="AC71" s="87">
        <v>2</v>
      </c>
      <c r="AD71" s="87">
        <v>0</v>
      </c>
      <c r="AE71" s="70" t="str">
        <f t="shared" si="126"/>
        <v>1</v>
      </c>
      <c r="AF71" s="74">
        <f t="shared" si="127"/>
        <v>0</v>
      </c>
      <c r="AG71" s="87">
        <v>2</v>
      </c>
      <c r="AH71" s="87">
        <v>0</v>
      </c>
      <c r="AI71" s="70" t="str">
        <f t="shared" si="128"/>
        <v>1</v>
      </c>
      <c r="AJ71" s="74">
        <f t="shared" si="129"/>
        <v>0</v>
      </c>
      <c r="AK71" s="87">
        <v>2</v>
      </c>
      <c r="AL71" s="87">
        <v>1</v>
      </c>
      <c r="AM71" s="70" t="str">
        <f t="shared" si="130"/>
        <v>1</v>
      </c>
      <c r="AN71" s="74">
        <f t="shared" si="131"/>
        <v>0</v>
      </c>
      <c r="AO71" s="87">
        <v>2</v>
      </c>
      <c r="AP71" s="87">
        <v>1</v>
      </c>
      <c r="AQ71" s="70" t="str">
        <f t="shared" si="132"/>
        <v>1</v>
      </c>
      <c r="AR71" s="74">
        <f t="shared" si="133"/>
        <v>0</v>
      </c>
      <c r="AS71" s="88">
        <v>1</v>
      </c>
      <c r="AT71" s="88">
        <v>0</v>
      </c>
      <c r="AU71" s="70" t="str">
        <f t="shared" si="134"/>
        <v>1</v>
      </c>
      <c r="AV71" s="74">
        <f t="shared" si="135"/>
        <v>0</v>
      </c>
      <c r="AW71" s="87">
        <v>0</v>
      </c>
      <c r="AX71" s="87">
        <v>0</v>
      </c>
      <c r="AY71" s="70" t="str">
        <f t="shared" si="136"/>
        <v>X</v>
      </c>
      <c r="AZ71" s="74">
        <f t="shared" si="137"/>
        <v>0</v>
      </c>
      <c r="BA71" s="91">
        <v>1</v>
      </c>
      <c r="BB71" s="91">
        <v>0</v>
      </c>
      <c r="BC71" s="70" t="str">
        <f t="shared" si="138"/>
        <v>1</v>
      </c>
      <c r="BD71" s="74">
        <f t="shared" si="139"/>
        <v>0</v>
      </c>
      <c r="BE71" s="87">
        <v>0</v>
      </c>
      <c r="BF71" s="87">
        <v>0</v>
      </c>
      <c r="BG71" s="70" t="str">
        <f t="shared" si="140"/>
        <v>X</v>
      </c>
      <c r="BH71" s="74">
        <f t="shared" si="141"/>
        <v>0</v>
      </c>
      <c r="BI71" s="87">
        <v>1</v>
      </c>
      <c r="BJ71" s="87">
        <v>1</v>
      </c>
      <c r="BK71" s="70" t="str">
        <f t="shared" si="142"/>
        <v>X</v>
      </c>
      <c r="BL71" s="74">
        <f t="shared" si="143"/>
        <v>0</v>
      </c>
      <c r="BM71" s="87">
        <v>1</v>
      </c>
      <c r="BN71" s="87">
        <v>1</v>
      </c>
      <c r="BO71" s="70" t="str">
        <f t="shared" si="144"/>
        <v>X</v>
      </c>
      <c r="BP71" s="74">
        <f t="shared" si="145"/>
        <v>0</v>
      </c>
      <c r="BQ71" s="87">
        <v>2</v>
      </c>
      <c r="BR71" s="87">
        <v>1</v>
      </c>
      <c r="BS71" s="70" t="str">
        <f t="shared" si="146"/>
        <v>1</v>
      </c>
      <c r="BT71" s="74">
        <f t="shared" si="147"/>
        <v>0</v>
      </c>
      <c r="BU71" s="87">
        <v>2</v>
      </c>
      <c r="BV71" s="87">
        <v>1</v>
      </c>
      <c r="BW71" s="70" t="str">
        <f t="shared" si="148"/>
        <v>1</v>
      </c>
      <c r="BX71" s="74">
        <f t="shared" si="149"/>
        <v>0</v>
      </c>
      <c r="BY71" s="87">
        <v>0</v>
      </c>
      <c r="BZ71" s="87">
        <v>0</v>
      </c>
      <c r="CA71" s="70" t="str">
        <f t="shared" si="150"/>
        <v>X</v>
      </c>
      <c r="CB71" s="74">
        <f t="shared" si="151"/>
        <v>0</v>
      </c>
      <c r="CC71" s="87">
        <v>2</v>
      </c>
      <c r="CD71" s="87">
        <v>0</v>
      </c>
      <c r="CE71" s="70" t="str">
        <f t="shared" si="152"/>
        <v>1</v>
      </c>
      <c r="CF71" s="74">
        <f t="shared" si="153"/>
        <v>0</v>
      </c>
      <c r="CG71" s="87">
        <v>2</v>
      </c>
      <c r="CH71" s="87">
        <v>0</v>
      </c>
      <c r="CI71" s="70" t="str">
        <f t="shared" si="154"/>
        <v>1</v>
      </c>
      <c r="CJ71" s="74">
        <f t="shared" si="155"/>
        <v>0</v>
      </c>
      <c r="CK71" s="88">
        <v>2</v>
      </c>
      <c r="CL71" s="88">
        <v>1</v>
      </c>
      <c r="CM71" s="70" t="str">
        <f t="shared" si="156"/>
        <v>1</v>
      </c>
      <c r="CN71" s="74">
        <f t="shared" si="157"/>
        <v>0</v>
      </c>
      <c r="CO71" s="87">
        <v>2</v>
      </c>
      <c r="CP71" s="87">
        <v>0</v>
      </c>
      <c r="CQ71" s="70" t="str">
        <f t="shared" si="158"/>
        <v>1</v>
      </c>
      <c r="CR71" s="74">
        <f t="shared" si="159"/>
        <v>0</v>
      </c>
      <c r="CS71" s="87">
        <v>1</v>
      </c>
      <c r="CT71" s="87">
        <v>0</v>
      </c>
      <c r="CU71" s="70" t="str">
        <f t="shared" si="160"/>
        <v>1</v>
      </c>
      <c r="CV71" s="74">
        <f t="shared" si="161"/>
        <v>0</v>
      </c>
      <c r="CW71" s="87">
        <v>2</v>
      </c>
      <c r="CX71" s="87">
        <v>0</v>
      </c>
      <c r="CY71" s="70" t="str">
        <f t="shared" si="162"/>
        <v>1</v>
      </c>
      <c r="CZ71" s="74">
        <f t="shared" si="163"/>
        <v>0</v>
      </c>
      <c r="DA71" s="87">
        <v>2</v>
      </c>
      <c r="DB71" s="87">
        <v>1</v>
      </c>
      <c r="DC71" s="70" t="str">
        <f t="shared" si="164"/>
        <v>1</v>
      </c>
      <c r="DD71" s="74">
        <f t="shared" si="165"/>
        <v>0</v>
      </c>
      <c r="DE71" s="87">
        <v>2</v>
      </c>
      <c r="DF71" s="87">
        <v>2</v>
      </c>
      <c r="DG71" s="70" t="str">
        <f t="shared" si="166"/>
        <v>X</v>
      </c>
      <c r="DH71" s="74">
        <f t="shared" si="167"/>
        <v>0</v>
      </c>
      <c r="DI71" s="87">
        <v>3</v>
      </c>
      <c r="DJ71" s="87">
        <v>1</v>
      </c>
      <c r="DK71" s="70" t="str">
        <f t="shared" si="168"/>
        <v>1</v>
      </c>
      <c r="DL71" s="74">
        <f t="shared" si="169"/>
        <v>0</v>
      </c>
      <c r="DM71" s="87">
        <v>0</v>
      </c>
      <c r="DN71" s="87">
        <v>1</v>
      </c>
      <c r="DO71" s="70" t="str">
        <f t="shared" si="170"/>
        <v>2</v>
      </c>
      <c r="DP71" s="74">
        <f t="shared" si="171"/>
        <v>0</v>
      </c>
    </row>
    <row r="72" spans="1:120" ht="16" customHeight="1" thickBot="1">
      <c r="A72" s="130">
        <v>44735</v>
      </c>
      <c r="B72" s="131" t="s">
        <v>113</v>
      </c>
      <c r="C72" s="85" t="s">
        <v>91</v>
      </c>
      <c r="D72" s="85" t="s">
        <v>93</v>
      </c>
      <c r="E72" s="84">
        <f t="shared" si="114"/>
        <v>0</v>
      </c>
      <c r="F72" s="23"/>
      <c r="G72" s="5"/>
      <c r="H72" s="77" t="b">
        <f t="shared" si="115"/>
        <v>0</v>
      </c>
      <c r="I72" s="87">
        <v>2</v>
      </c>
      <c r="J72" s="87">
        <v>0</v>
      </c>
      <c r="K72" s="70" t="str">
        <f t="shared" si="116"/>
        <v>1</v>
      </c>
      <c r="L72" s="74">
        <f t="shared" si="117"/>
        <v>0</v>
      </c>
      <c r="M72" s="87">
        <v>2</v>
      </c>
      <c r="N72" s="87">
        <v>1</v>
      </c>
      <c r="O72" s="70" t="str">
        <f t="shared" si="118"/>
        <v>1</v>
      </c>
      <c r="P72" s="74">
        <f t="shared" si="119"/>
        <v>0</v>
      </c>
      <c r="Q72" s="87">
        <v>1</v>
      </c>
      <c r="R72" s="87">
        <v>0</v>
      </c>
      <c r="S72" s="70" t="str">
        <f t="shared" si="120"/>
        <v>1</v>
      </c>
      <c r="T72" s="74">
        <f t="shared" si="121"/>
        <v>0</v>
      </c>
      <c r="U72" s="87">
        <v>2</v>
      </c>
      <c r="V72" s="87">
        <v>0</v>
      </c>
      <c r="W72" s="70" t="str">
        <f t="shared" si="122"/>
        <v>1</v>
      </c>
      <c r="X72" s="74">
        <f t="shared" si="123"/>
        <v>0</v>
      </c>
      <c r="Y72" s="87">
        <v>1</v>
      </c>
      <c r="Z72" s="87">
        <v>1</v>
      </c>
      <c r="AA72" s="70" t="str">
        <f t="shared" si="124"/>
        <v>X</v>
      </c>
      <c r="AB72" s="74">
        <f t="shared" si="125"/>
        <v>0</v>
      </c>
      <c r="AC72" s="87">
        <v>2</v>
      </c>
      <c r="AD72" s="87">
        <v>0</v>
      </c>
      <c r="AE72" s="70" t="str">
        <f t="shared" si="126"/>
        <v>1</v>
      </c>
      <c r="AF72" s="74">
        <f t="shared" si="127"/>
        <v>0</v>
      </c>
      <c r="AG72" s="87">
        <v>2</v>
      </c>
      <c r="AH72" s="87">
        <v>1</v>
      </c>
      <c r="AI72" s="70" t="str">
        <f t="shared" si="128"/>
        <v>1</v>
      </c>
      <c r="AJ72" s="74">
        <f t="shared" si="129"/>
        <v>0</v>
      </c>
      <c r="AK72" s="87">
        <v>2</v>
      </c>
      <c r="AL72" s="87">
        <v>0</v>
      </c>
      <c r="AM72" s="70" t="str">
        <f t="shared" si="130"/>
        <v>1</v>
      </c>
      <c r="AN72" s="74">
        <f t="shared" si="131"/>
        <v>0</v>
      </c>
      <c r="AO72" s="87">
        <v>3</v>
      </c>
      <c r="AP72" s="87">
        <v>0</v>
      </c>
      <c r="AQ72" s="70" t="str">
        <f t="shared" si="132"/>
        <v>1</v>
      </c>
      <c r="AR72" s="74">
        <f t="shared" si="133"/>
        <v>0</v>
      </c>
      <c r="AS72" s="88">
        <v>3</v>
      </c>
      <c r="AT72" s="88">
        <v>1</v>
      </c>
      <c r="AU72" s="70" t="str">
        <f t="shared" si="134"/>
        <v>1</v>
      </c>
      <c r="AV72" s="74">
        <f t="shared" si="135"/>
        <v>0</v>
      </c>
      <c r="AW72" s="87">
        <v>3</v>
      </c>
      <c r="AX72" s="87">
        <v>0</v>
      </c>
      <c r="AY72" s="70" t="str">
        <f t="shared" si="136"/>
        <v>1</v>
      </c>
      <c r="AZ72" s="74">
        <f t="shared" si="137"/>
        <v>0</v>
      </c>
      <c r="BA72" s="91">
        <v>2</v>
      </c>
      <c r="BB72" s="91">
        <v>0</v>
      </c>
      <c r="BC72" s="70" t="str">
        <f t="shared" si="138"/>
        <v>1</v>
      </c>
      <c r="BD72" s="74">
        <f t="shared" si="139"/>
        <v>0</v>
      </c>
      <c r="BE72" s="87">
        <v>1</v>
      </c>
      <c r="BF72" s="87">
        <v>0</v>
      </c>
      <c r="BG72" s="70" t="str">
        <f t="shared" si="140"/>
        <v>1</v>
      </c>
      <c r="BH72" s="74">
        <f t="shared" si="141"/>
        <v>0</v>
      </c>
      <c r="BI72" s="87">
        <v>2</v>
      </c>
      <c r="BJ72" s="87">
        <v>1</v>
      </c>
      <c r="BK72" s="70" t="str">
        <f t="shared" si="142"/>
        <v>1</v>
      </c>
      <c r="BL72" s="74">
        <f t="shared" si="143"/>
        <v>0</v>
      </c>
      <c r="BM72" s="87">
        <v>2</v>
      </c>
      <c r="BN72" s="87">
        <v>0</v>
      </c>
      <c r="BO72" s="70" t="str">
        <f t="shared" si="144"/>
        <v>1</v>
      </c>
      <c r="BP72" s="74">
        <f t="shared" si="145"/>
        <v>0</v>
      </c>
      <c r="BQ72" s="87">
        <v>2</v>
      </c>
      <c r="BR72" s="87">
        <v>1</v>
      </c>
      <c r="BS72" s="70" t="str">
        <f t="shared" si="146"/>
        <v>1</v>
      </c>
      <c r="BT72" s="74">
        <f t="shared" si="147"/>
        <v>0</v>
      </c>
      <c r="BU72" s="87">
        <v>3</v>
      </c>
      <c r="BV72" s="87">
        <v>1</v>
      </c>
      <c r="BW72" s="70" t="str">
        <f t="shared" si="148"/>
        <v>1</v>
      </c>
      <c r="BX72" s="74">
        <f t="shared" si="149"/>
        <v>0</v>
      </c>
      <c r="BY72" s="87">
        <v>2</v>
      </c>
      <c r="BZ72" s="87">
        <v>1</v>
      </c>
      <c r="CA72" s="70" t="str">
        <f t="shared" si="150"/>
        <v>1</v>
      </c>
      <c r="CB72" s="74">
        <f t="shared" si="151"/>
        <v>0</v>
      </c>
      <c r="CC72" s="87">
        <v>1</v>
      </c>
      <c r="CD72" s="87">
        <v>1</v>
      </c>
      <c r="CE72" s="70" t="str">
        <f t="shared" si="152"/>
        <v>X</v>
      </c>
      <c r="CF72" s="74">
        <f t="shared" si="153"/>
        <v>0</v>
      </c>
      <c r="CG72" s="87">
        <v>1</v>
      </c>
      <c r="CH72" s="87">
        <v>1</v>
      </c>
      <c r="CI72" s="70" t="str">
        <f t="shared" si="154"/>
        <v>X</v>
      </c>
      <c r="CJ72" s="74">
        <f t="shared" si="155"/>
        <v>0</v>
      </c>
      <c r="CK72" s="88">
        <v>3</v>
      </c>
      <c r="CL72" s="88">
        <v>0</v>
      </c>
      <c r="CM72" s="70" t="str">
        <f t="shared" si="156"/>
        <v>1</v>
      </c>
      <c r="CN72" s="74">
        <f t="shared" si="157"/>
        <v>0</v>
      </c>
      <c r="CO72" s="87">
        <v>1</v>
      </c>
      <c r="CP72" s="87">
        <v>0</v>
      </c>
      <c r="CQ72" s="70" t="str">
        <f t="shared" si="158"/>
        <v>1</v>
      </c>
      <c r="CR72" s="74">
        <f t="shared" si="159"/>
        <v>0</v>
      </c>
      <c r="CS72" s="87">
        <v>3</v>
      </c>
      <c r="CT72" s="87">
        <v>1</v>
      </c>
      <c r="CU72" s="70" t="str">
        <f t="shared" si="160"/>
        <v>1</v>
      </c>
      <c r="CV72" s="74">
        <f t="shared" si="161"/>
        <v>0</v>
      </c>
      <c r="CW72" s="87">
        <v>3</v>
      </c>
      <c r="CX72" s="87">
        <v>1</v>
      </c>
      <c r="CY72" s="70" t="str">
        <f t="shared" si="162"/>
        <v>1</v>
      </c>
      <c r="CZ72" s="74">
        <f t="shared" si="163"/>
        <v>0</v>
      </c>
      <c r="DA72" s="87">
        <v>2</v>
      </c>
      <c r="DB72" s="87">
        <v>1</v>
      </c>
      <c r="DC72" s="70" t="str">
        <f t="shared" si="164"/>
        <v>1</v>
      </c>
      <c r="DD72" s="74">
        <f t="shared" si="165"/>
        <v>0</v>
      </c>
      <c r="DE72" s="87">
        <v>3</v>
      </c>
      <c r="DF72" s="87">
        <v>0</v>
      </c>
      <c r="DG72" s="70" t="str">
        <f t="shared" si="166"/>
        <v>1</v>
      </c>
      <c r="DH72" s="74">
        <f t="shared" si="167"/>
        <v>0</v>
      </c>
      <c r="DI72" s="87">
        <v>2</v>
      </c>
      <c r="DJ72" s="87">
        <v>0</v>
      </c>
      <c r="DK72" s="70" t="str">
        <f t="shared" si="168"/>
        <v>1</v>
      </c>
      <c r="DL72" s="74">
        <f t="shared" si="169"/>
        <v>0</v>
      </c>
      <c r="DM72" s="87">
        <v>3</v>
      </c>
      <c r="DN72" s="87">
        <v>1</v>
      </c>
      <c r="DO72" s="70" t="str">
        <f t="shared" si="170"/>
        <v>1</v>
      </c>
      <c r="DP72" s="74">
        <f t="shared" si="171"/>
        <v>0</v>
      </c>
    </row>
    <row r="73" spans="1:120" ht="16" customHeight="1" thickBot="1">
      <c r="A73" s="130">
        <v>44735</v>
      </c>
      <c r="B73" s="131" t="s">
        <v>112</v>
      </c>
      <c r="C73" s="85" t="s">
        <v>94</v>
      </c>
      <c r="D73" s="85" t="s">
        <v>92</v>
      </c>
      <c r="E73" s="84">
        <f t="shared" si="114"/>
        <v>0</v>
      </c>
      <c r="F73" s="23"/>
      <c r="G73" s="5"/>
      <c r="H73" s="77" t="b">
        <f t="shared" si="115"/>
        <v>0</v>
      </c>
      <c r="I73" s="87">
        <v>0</v>
      </c>
      <c r="J73" s="87">
        <v>2</v>
      </c>
      <c r="K73" s="70" t="str">
        <f t="shared" si="116"/>
        <v>2</v>
      </c>
      <c r="L73" s="74">
        <f t="shared" si="117"/>
        <v>0</v>
      </c>
      <c r="M73" s="87">
        <v>1</v>
      </c>
      <c r="N73" s="87">
        <v>3</v>
      </c>
      <c r="O73" s="70" t="str">
        <f t="shared" si="118"/>
        <v>2</v>
      </c>
      <c r="P73" s="74">
        <f t="shared" si="119"/>
        <v>0</v>
      </c>
      <c r="Q73" s="87">
        <v>0</v>
      </c>
      <c r="R73" s="87">
        <v>2</v>
      </c>
      <c r="S73" s="70" t="str">
        <f t="shared" si="120"/>
        <v>2</v>
      </c>
      <c r="T73" s="74">
        <f t="shared" si="121"/>
        <v>0</v>
      </c>
      <c r="U73" s="87">
        <v>1</v>
      </c>
      <c r="V73" s="87">
        <v>2</v>
      </c>
      <c r="W73" s="70" t="str">
        <f t="shared" si="122"/>
        <v>2</v>
      </c>
      <c r="X73" s="74">
        <f t="shared" si="123"/>
        <v>0</v>
      </c>
      <c r="Y73" s="87">
        <v>1</v>
      </c>
      <c r="Z73" s="87">
        <v>2</v>
      </c>
      <c r="AA73" s="70" t="str">
        <f t="shared" si="124"/>
        <v>2</v>
      </c>
      <c r="AB73" s="74">
        <f t="shared" si="125"/>
        <v>0</v>
      </c>
      <c r="AC73" s="87">
        <v>0</v>
      </c>
      <c r="AD73" s="87">
        <v>2</v>
      </c>
      <c r="AE73" s="70" t="str">
        <f t="shared" si="126"/>
        <v>2</v>
      </c>
      <c r="AF73" s="74">
        <f t="shared" si="127"/>
        <v>0</v>
      </c>
      <c r="AG73" s="87">
        <v>1</v>
      </c>
      <c r="AH73" s="87">
        <v>2</v>
      </c>
      <c r="AI73" s="70" t="str">
        <f t="shared" si="128"/>
        <v>2</v>
      </c>
      <c r="AJ73" s="74">
        <f t="shared" si="129"/>
        <v>0</v>
      </c>
      <c r="AK73" s="87">
        <v>0</v>
      </c>
      <c r="AL73" s="87">
        <v>2</v>
      </c>
      <c r="AM73" s="70" t="str">
        <f t="shared" si="130"/>
        <v>2</v>
      </c>
      <c r="AN73" s="74">
        <f t="shared" si="131"/>
        <v>0</v>
      </c>
      <c r="AO73" s="87">
        <v>1</v>
      </c>
      <c r="AP73" s="87">
        <v>3</v>
      </c>
      <c r="AQ73" s="70" t="str">
        <f t="shared" si="132"/>
        <v>2</v>
      </c>
      <c r="AR73" s="74">
        <f t="shared" si="133"/>
        <v>0</v>
      </c>
      <c r="AS73" s="88">
        <v>0</v>
      </c>
      <c r="AT73" s="88">
        <v>3</v>
      </c>
      <c r="AU73" s="70" t="str">
        <f t="shared" si="134"/>
        <v>2</v>
      </c>
      <c r="AV73" s="74">
        <f t="shared" si="135"/>
        <v>0</v>
      </c>
      <c r="AW73" s="87">
        <v>0</v>
      </c>
      <c r="AX73" s="87">
        <v>2</v>
      </c>
      <c r="AY73" s="70" t="str">
        <f t="shared" si="136"/>
        <v>2</v>
      </c>
      <c r="AZ73" s="74">
        <f t="shared" si="137"/>
        <v>0</v>
      </c>
      <c r="BA73" s="91">
        <v>0</v>
      </c>
      <c r="BB73" s="91">
        <v>2</v>
      </c>
      <c r="BC73" s="70" t="str">
        <f t="shared" si="138"/>
        <v>2</v>
      </c>
      <c r="BD73" s="74">
        <f t="shared" si="139"/>
        <v>0</v>
      </c>
      <c r="BE73" s="87">
        <v>0</v>
      </c>
      <c r="BF73" s="87">
        <v>2</v>
      </c>
      <c r="BG73" s="70" t="str">
        <f t="shared" si="140"/>
        <v>2</v>
      </c>
      <c r="BH73" s="74">
        <f t="shared" si="141"/>
        <v>0</v>
      </c>
      <c r="BI73" s="87">
        <v>1</v>
      </c>
      <c r="BJ73" s="87">
        <v>2</v>
      </c>
      <c r="BK73" s="70" t="str">
        <f t="shared" si="142"/>
        <v>2</v>
      </c>
      <c r="BL73" s="74">
        <f t="shared" si="143"/>
        <v>0</v>
      </c>
      <c r="BM73" s="87">
        <v>0</v>
      </c>
      <c r="BN73" s="87">
        <v>1</v>
      </c>
      <c r="BO73" s="70" t="str">
        <f t="shared" si="144"/>
        <v>2</v>
      </c>
      <c r="BP73" s="74">
        <f t="shared" si="145"/>
        <v>0</v>
      </c>
      <c r="BQ73" s="87">
        <v>0</v>
      </c>
      <c r="BR73" s="87">
        <v>2</v>
      </c>
      <c r="BS73" s="70" t="str">
        <f t="shared" si="146"/>
        <v>2</v>
      </c>
      <c r="BT73" s="74">
        <f t="shared" si="147"/>
        <v>0</v>
      </c>
      <c r="BU73" s="87">
        <v>0</v>
      </c>
      <c r="BV73" s="87">
        <v>2</v>
      </c>
      <c r="BW73" s="70" t="str">
        <f t="shared" si="148"/>
        <v>2</v>
      </c>
      <c r="BX73" s="74">
        <f t="shared" si="149"/>
        <v>0</v>
      </c>
      <c r="BY73" s="87">
        <v>0</v>
      </c>
      <c r="BZ73" s="87">
        <v>2</v>
      </c>
      <c r="CA73" s="70" t="str">
        <f t="shared" si="150"/>
        <v>2</v>
      </c>
      <c r="CB73" s="74">
        <f t="shared" si="151"/>
        <v>0</v>
      </c>
      <c r="CC73" s="87">
        <v>1</v>
      </c>
      <c r="CD73" s="87">
        <v>3</v>
      </c>
      <c r="CE73" s="70" t="str">
        <f t="shared" si="152"/>
        <v>2</v>
      </c>
      <c r="CF73" s="74">
        <f t="shared" si="153"/>
        <v>0</v>
      </c>
      <c r="CG73" s="87">
        <v>0</v>
      </c>
      <c r="CH73" s="87">
        <v>2</v>
      </c>
      <c r="CI73" s="70" t="str">
        <f t="shared" si="154"/>
        <v>2</v>
      </c>
      <c r="CJ73" s="74">
        <f t="shared" si="155"/>
        <v>0</v>
      </c>
      <c r="CK73" s="88">
        <v>1</v>
      </c>
      <c r="CL73" s="88">
        <v>3</v>
      </c>
      <c r="CM73" s="70" t="str">
        <f t="shared" si="156"/>
        <v>2</v>
      </c>
      <c r="CN73" s="74">
        <f t="shared" si="157"/>
        <v>0</v>
      </c>
      <c r="CO73" s="87">
        <v>0</v>
      </c>
      <c r="CP73" s="87">
        <v>2</v>
      </c>
      <c r="CQ73" s="70" t="str">
        <f t="shared" si="158"/>
        <v>2</v>
      </c>
      <c r="CR73" s="74">
        <f t="shared" si="159"/>
        <v>0</v>
      </c>
      <c r="CS73" s="87">
        <v>0</v>
      </c>
      <c r="CT73" s="87">
        <v>2</v>
      </c>
      <c r="CU73" s="70" t="str">
        <f t="shared" si="160"/>
        <v>2</v>
      </c>
      <c r="CV73" s="74">
        <f t="shared" si="161"/>
        <v>0</v>
      </c>
      <c r="CW73" s="87">
        <v>0</v>
      </c>
      <c r="CX73" s="87">
        <v>2</v>
      </c>
      <c r="CY73" s="70" t="str">
        <f t="shared" si="162"/>
        <v>2</v>
      </c>
      <c r="CZ73" s="74">
        <f t="shared" si="163"/>
        <v>0</v>
      </c>
      <c r="DA73" s="87">
        <v>1</v>
      </c>
      <c r="DB73" s="87">
        <v>2</v>
      </c>
      <c r="DC73" s="70" t="str">
        <f t="shared" si="164"/>
        <v>2</v>
      </c>
      <c r="DD73" s="74">
        <f t="shared" si="165"/>
        <v>0</v>
      </c>
      <c r="DE73" s="87">
        <v>1</v>
      </c>
      <c r="DF73" s="87">
        <v>2</v>
      </c>
      <c r="DG73" s="70" t="str">
        <f t="shared" si="166"/>
        <v>2</v>
      </c>
      <c r="DH73" s="74">
        <f t="shared" si="167"/>
        <v>0</v>
      </c>
      <c r="DI73" s="87">
        <v>2</v>
      </c>
      <c r="DJ73" s="87">
        <v>0</v>
      </c>
      <c r="DK73" s="70" t="str">
        <f t="shared" si="168"/>
        <v>1</v>
      </c>
      <c r="DL73" s="74">
        <f t="shared" si="169"/>
        <v>0</v>
      </c>
      <c r="DM73" s="87">
        <v>1</v>
      </c>
      <c r="DN73" s="87">
        <v>3</v>
      </c>
      <c r="DO73" s="70" t="str">
        <f t="shared" si="170"/>
        <v>2</v>
      </c>
      <c r="DP73" s="74">
        <f t="shared" si="171"/>
        <v>0</v>
      </c>
    </row>
    <row r="74" spans="1:120" ht="16" customHeight="1" thickBot="1">
      <c r="A74" s="130">
        <v>44739</v>
      </c>
      <c r="B74" s="131" t="s">
        <v>115</v>
      </c>
      <c r="C74" s="85" t="s">
        <v>94</v>
      </c>
      <c r="D74" s="85" t="s">
        <v>91</v>
      </c>
      <c r="E74" s="84">
        <f t="shared" si="114"/>
        <v>0</v>
      </c>
      <c r="F74" s="23"/>
      <c r="G74" s="5"/>
      <c r="H74" s="77" t="b">
        <f t="shared" si="115"/>
        <v>0</v>
      </c>
      <c r="I74" s="87"/>
      <c r="J74" s="87"/>
      <c r="K74" s="70" t="str">
        <f t="shared" si="116"/>
        <v>X</v>
      </c>
      <c r="L74" s="74">
        <f t="shared" si="117"/>
        <v>0</v>
      </c>
      <c r="M74" s="87"/>
      <c r="N74" s="87"/>
      <c r="O74" s="70" t="str">
        <f t="shared" si="118"/>
        <v>X</v>
      </c>
      <c r="P74" s="74">
        <f t="shared" si="119"/>
        <v>0</v>
      </c>
      <c r="Q74" s="87"/>
      <c r="R74" s="87"/>
      <c r="S74" s="70" t="str">
        <f t="shared" si="120"/>
        <v>X</v>
      </c>
      <c r="T74" s="74">
        <f t="shared" si="121"/>
        <v>0</v>
      </c>
      <c r="U74" s="87"/>
      <c r="V74" s="87"/>
      <c r="W74" s="70" t="str">
        <f t="shared" si="122"/>
        <v>X</v>
      </c>
      <c r="X74" s="74">
        <f t="shared" si="123"/>
        <v>0</v>
      </c>
      <c r="Y74" s="87"/>
      <c r="Z74" s="87"/>
      <c r="AA74" s="70" t="str">
        <f t="shared" si="124"/>
        <v>X</v>
      </c>
      <c r="AB74" s="74">
        <f t="shared" si="125"/>
        <v>0</v>
      </c>
      <c r="AC74" s="87"/>
      <c r="AD74" s="87"/>
      <c r="AE74" s="70" t="str">
        <f t="shared" si="126"/>
        <v>X</v>
      </c>
      <c r="AF74" s="74">
        <f t="shared" si="127"/>
        <v>0</v>
      </c>
      <c r="AG74" s="87"/>
      <c r="AH74" s="87"/>
      <c r="AI74" s="70" t="str">
        <f t="shared" si="128"/>
        <v>X</v>
      </c>
      <c r="AJ74" s="74">
        <f t="shared" si="129"/>
        <v>0</v>
      </c>
      <c r="AK74" s="87"/>
      <c r="AL74" s="87"/>
      <c r="AM74" s="70" t="str">
        <f t="shared" si="130"/>
        <v>X</v>
      </c>
      <c r="AN74" s="74">
        <f t="shared" si="131"/>
        <v>0</v>
      </c>
      <c r="AO74" s="87"/>
      <c r="AP74" s="87"/>
      <c r="AQ74" s="70" t="str">
        <f t="shared" si="132"/>
        <v>X</v>
      </c>
      <c r="AR74" s="74">
        <f t="shared" si="133"/>
        <v>0</v>
      </c>
      <c r="AS74" s="88"/>
      <c r="AT74" s="88"/>
      <c r="AU74" s="70" t="str">
        <f t="shared" si="134"/>
        <v>X</v>
      </c>
      <c r="AV74" s="74">
        <f t="shared" si="135"/>
        <v>0</v>
      </c>
      <c r="AW74" s="87"/>
      <c r="AX74" s="87"/>
      <c r="AY74" s="70" t="str">
        <f t="shared" si="136"/>
        <v>X</v>
      </c>
      <c r="AZ74" s="74">
        <f t="shared" si="137"/>
        <v>0</v>
      </c>
      <c r="BA74" s="91"/>
      <c r="BB74" s="91"/>
      <c r="BC74" s="70" t="str">
        <f t="shared" si="138"/>
        <v>X</v>
      </c>
      <c r="BD74" s="74">
        <f t="shared" si="139"/>
        <v>0</v>
      </c>
      <c r="BE74" s="87"/>
      <c r="BF74" s="87"/>
      <c r="BG74" s="70" t="str">
        <f t="shared" si="140"/>
        <v>X</v>
      </c>
      <c r="BH74" s="74">
        <f t="shared" si="141"/>
        <v>0</v>
      </c>
      <c r="BI74" s="87"/>
      <c r="BJ74" s="87"/>
      <c r="BK74" s="70" t="str">
        <f t="shared" si="142"/>
        <v>X</v>
      </c>
      <c r="BL74" s="74">
        <f t="shared" si="143"/>
        <v>0</v>
      </c>
      <c r="BM74" s="87"/>
      <c r="BN74" s="87"/>
      <c r="BO74" s="70" t="str">
        <f t="shared" si="144"/>
        <v>X</v>
      </c>
      <c r="BP74" s="74">
        <f t="shared" si="145"/>
        <v>0</v>
      </c>
      <c r="BQ74" s="87"/>
      <c r="BR74" s="87"/>
      <c r="BS74" s="70" t="str">
        <f t="shared" si="146"/>
        <v>X</v>
      </c>
      <c r="BT74" s="74">
        <f t="shared" si="147"/>
        <v>0</v>
      </c>
      <c r="BU74" s="87"/>
      <c r="BV74" s="87"/>
      <c r="BW74" s="70" t="str">
        <f t="shared" si="148"/>
        <v>X</v>
      </c>
      <c r="BX74" s="74">
        <f t="shared" si="149"/>
        <v>0</v>
      </c>
      <c r="BY74" s="87"/>
      <c r="BZ74" s="87"/>
      <c r="CA74" s="70" t="str">
        <f t="shared" si="150"/>
        <v>X</v>
      </c>
      <c r="CB74" s="74">
        <f t="shared" si="151"/>
        <v>0</v>
      </c>
      <c r="CC74" s="87"/>
      <c r="CD74" s="87"/>
      <c r="CE74" s="70" t="str">
        <f t="shared" si="152"/>
        <v>X</v>
      </c>
      <c r="CF74" s="74">
        <f t="shared" si="153"/>
        <v>0</v>
      </c>
      <c r="CG74" s="87"/>
      <c r="CH74" s="87"/>
      <c r="CI74" s="70" t="str">
        <f t="shared" si="154"/>
        <v>X</v>
      </c>
      <c r="CJ74" s="74">
        <f t="shared" si="155"/>
        <v>0</v>
      </c>
      <c r="CK74" s="88"/>
      <c r="CL74" s="88"/>
      <c r="CM74" s="70" t="str">
        <f t="shared" si="156"/>
        <v>X</v>
      </c>
      <c r="CN74" s="74">
        <f t="shared" si="157"/>
        <v>0</v>
      </c>
      <c r="CO74" s="87"/>
      <c r="CP74" s="87"/>
      <c r="CQ74" s="70" t="str">
        <f t="shared" si="158"/>
        <v>X</v>
      </c>
      <c r="CR74" s="74">
        <f t="shared" si="159"/>
        <v>0</v>
      </c>
      <c r="CS74" s="87"/>
      <c r="CT74" s="87"/>
      <c r="CU74" s="70" t="str">
        <f t="shared" si="160"/>
        <v>X</v>
      </c>
      <c r="CV74" s="74">
        <f t="shared" si="161"/>
        <v>0</v>
      </c>
      <c r="CW74" s="87"/>
      <c r="CX74" s="87"/>
      <c r="CY74" s="70" t="str">
        <f t="shared" si="162"/>
        <v>X</v>
      </c>
      <c r="CZ74" s="74">
        <f t="shared" si="163"/>
        <v>0</v>
      </c>
      <c r="DA74" s="87"/>
      <c r="DB74" s="87"/>
      <c r="DC74" s="70" t="str">
        <f t="shared" si="164"/>
        <v>X</v>
      </c>
      <c r="DD74" s="74">
        <f t="shared" si="165"/>
        <v>0</v>
      </c>
      <c r="DE74" s="87"/>
      <c r="DF74" s="87"/>
      <c r="DG74" s="70" t="str">
        <f t="shared" si="166"/>
        <v>X</v>
      </c>
      <c r="DH74" s="74">
        <f t="shared" si="167"/>
        <v>0</v>
      </c>
      <c r="DI74" s="87"/>
      <c r="DJ74" s="87"/>
      <c r="DK74" s="70" t="str">
        <f t="shared" si="168"/>
        <v>X</v>
      </c>
      <c r="DL74" s="74">
        <f t="shared" si="169"/>
        <v>0</v>
      </c>
      <c r="DM74" s="87"/>
      <c r="DN74" s="87"/>
      <c r="DO74" s="70" t="str">
        <f t="shared" si="170"/>
        <v>X</v>
      </c>
      <c r="DP74" s="74">
        <f t="shared" si="171"/>
        <v>0</v>
      </c>
    </row>
    <row r="75" spans="1:120" ht="16" customHeight="1" thickBot="1">
      <c r="A75" s="130">
        <v>44739</v>
      </c>
      <c r="B75" s="131" t="s">
        <v>115</v>
      </c>
      <c r="C75" s="85" t="s">
        <v>92</v>
      </c>
      <c r="D75" s="85" t="s">
        <v>93</v>
      </c>
      <c r="E75" s="84">
        <f t="shared" si="114"/>
        <v>0</v>
      </c>
      <c r="F75" s="23"/>
      <c r="G75" s="5"/>
      <c r="H75" s="77" t="b">
        <f t="shared" si="115"/>
        <v>0</v>
      </c>
      <c r="I75" s="87"/>
      <c r="J75" s="87"/>
      <c r="K75" s="70" t="str">
        <f t="shared" si="116"/>
        <v>X</v>
      </c>
      <c r="L75" s="74">
        <f t="shared" si="117"/>
        <v>0</v>
      </c>
      <c r="M75" s="87"/>
      <c r="N75" s="87"/>
      <c r="O75" s="70" t="str">
        <f t="shared" si="118"/>
        <v>X</v>
      </c>
      <c r="P75" s="74">
        <f t="shared" si="119"/>
        <v>0</v>
      </c>
      <c r="Q75" s="87"/>
      <c r="R75" s="87"/>
      <c r="S75" s="70" t="str">
        <f t="shared" si="120"/>
        <v>X</v>
      </c>
      <c r="T75" s="74">
        <f t="shared" si="121"/>
        <v>0</v>
      </c>
      <c r="U75" s="87"/>
      <c r="V75" s="87"/>
      <c r="W75" s="70" t="str">
        <f t="shared" si="122"/>
        <v>X</v>
      </c>
      <c r="X75" s="74">
        <f t="shared" si="123"/>
        <v>0</v>
      </c>
      <c r="Y75" s="87"/>
      <c r="Z75" s="87"/>
      <c r="AA75" s="70" t="str">
        <f t="shared" si="124"/>
        <v>X</v>
      </c>
      <c r="AB75" s="74">
        <f t="shared" si="125"/>
        <v>0</v>
      </c>
      <c r="AC75" s="87"/>
      <c r="AD75" s="87"/>
      <c r="AE75" s="70" t="str">
        <f t="shared" si="126"/>
        <v>X</v>
      </c>
      <c r="AF75" s="74">
        <f t="shared" si="127"/>
        <v>0</v>
      </c>
      <c r="AG75" s="87"/>
      <c r="AH75" s="87"/>
      <c r="AI75" s="70" t="str">
        <f t="shared" si="128"/>
        <v>X</v>
      </c>
      <c r="AJ75" s="74">
        <f t="shared" si="129"/>
        <v>0</v>
      </c>
      <c r="AK75" s="87"/>
      <c r="AL75" s="87"/>
      <c r="AM75" s="70" t="str">
        <f t="shared" si="130"/>
        <v>X</v>
      </c>
      <c r="AN75" s="74">
        <f t="shared" si="131"/>
        <v>0</v>
      </c>
      <c r="AO75" s="87"/>
      <c r="AP75" s="87"/>
      <c r="AQ75" s="70" t="str">
        <f t="shared" si="132"/>
        <v>X</v>
      </c>
      <c r="AR75" s="74">
        <f t="shared" si="133"/>
        <v>0</v>
      </c>
      <c r="AS75" s="88"/>
      <c r="AT75" s="88"/>
      <c r="AU75" s="70" t="str">
        <f t="shared" si="134"/>
        <v>X</v>
      </c>
      <c r="AV75" s="74">
        <f t="shared" si="135"/>
        <v>0</v>
      </c>
      <c r="AW75" s="87"/>
      <c r="AX75" s="87"/>
      <c r="AY75" s="70" t="str">
        <f t="shared" si="136"/>
        <v>X</v>
      </c>
      <c r="AZ75" s="74">
        <f t="shared" si="137"/>
        <v>0</v>
      </c>
      <c r="BA75" s="91"/>
      <c r="BB75" s="91"/>
      <c r="BC75" s="70" t="str">
        <f t="shared" si="138"/>
        <v>X</v>
      </c>
      <c r="BD75" s="74">
        <f t="shared" si="139"/>
        <v>0</v>
      </c>
      <c r="BE75" s="87"/>
      <c r="BF75" s="87"/>
      <c r="BG75" s="70" t="str">
        <f t="shared" si="140"/>
        <v>X</v>
      </c>
      <c r="BH75" s="74">
        <f t="shared" si="141"/>
        <v>0</v>
      </c>
      <c r="BI75" s="87"/>
      <c r="BJ75" s="87"/>
      <c r="BK75" s="70" t="str">
        <f t="shared" si="142"/>
        <v>X</v>
      </c>
      <c r="BL75" s="74">
        <f t="shared" si="143"/>
        <v>0</v>
      </c>
      <c r="BM75" s="87"/>
      <c r="BN75" s="87"/>
      <c r="BO75" s="70" t="str">
        <f t="shared" si="144"/>
        <v>X</v>
      </c>
      <c r="BP75" s="74">
        <f t="shared" si="145"/>
        <v>0</v>
      </c>
      <c r="BQ75" s="87"/>
      <c r="BR75" s="87"/>
      <c r="BS75" s="70" t="str">
        <f t="shared" si="146"/>
        <v>X</v>
      </c>
      <c r="BT75" s="74">
        <f t="shared" si="147"/>
        <v>0</v>
      </c>
      <c r="BU75" s="87"/>
      <c r="BV75" s="87"/>
      <c r="BW75" s="70" t="str">
        <f t="shared" si="148"/>
        <v>X</v>
      </c>
      <c r="BX75" s="74">
        <f t="shared" si="149"/>
        <v>0</v>
      </c>
      <c r="BY75" s="87"/>
      <c r="BZ75" s="87"/>
      <c r="CA75" s="70" t="str">
        <f t="shared" si="150"/>
        <v>X</v>
      </c>
      <c r="CB75" s="74">
        <f t="shared" si="151"/>
        <v>0</v>
      </c>
      <c r="CC75" s="87"/>
      <c r="CD75" s="87"/>
      <c r="CE75" s="70" t="str">
        <f t="shared" si="152"/>
        <v>X</v>
      </c>
      <c r="CF75" s="74">
        <f t="shared" si="153"/>
        <v>0</v>
      </c>
      <c r="CG75" s="87"/>
      <c r="CH75" s="87"/>
      <c r="CI75" s="70" t="str">
        <f t="shared" si="154"/>
        <v>X</v>
      </c>
      <c r="CJ75" s="74">
        <f t="shared" si="155"/>
        <v>0</v>
      </c>
      <c r="CK75" s="88"/>
      <c r="CL75" s="88"/>
      <c r="CM75" s="70" t="str">
        <f t="shared" si="156"/>
        <v>X</v>
      </c>
      <c r="CN75" s="74">
        <f t="shared" si="157"/>
        <v>0</v>
      </c>
      <c r="CO75" s="87"/>
      <c r="CP75" s="87"/>
      <c r="CQ75" s="70" t="str">
        <f t="shared" si="158"/>
        <v>X</v>
      </c>
      <c r="CR75" s="74">
        <f t="shared" si="159"/>
        <v>0</v>
      </c>
      <c r="CS75" s="87"/>
      <c r="CT75" s="87"/>
      <c r="CU75" s="70" t="str">
        <f t="shared" si="160"/>
        <v>X</v>
      </c>
      <c r="CV75" s="74">
        <f t="shared" si="161"/>
        <v>0</v>
      </c>
      <c r="CW75" s="87"/>
      <c r="CX75" s="87"/>
      <c r="CY75" s="70" t="str">
        <f t="shared" si="162"/>
        <v>X</v>
      </c>
      <c r="CZ75" s="74">
        <f t="shared" si="163"/>
        <v>0</v>
      </c>
      <c r="DA75" s="87"/>
      <c r="DB75" s="87"/>
      <c r="DC75" s="70" t="str">
        <f t="shared" si="164"/>
        <v>X</v>
      </c>
      <c r="DD75" s="74">
        <f t="shared" si="165"/>
        <v>0</v>
      </c>
      <c r="DE75" s="87"/>
      <c r="DF75" s="87"/>
      <c r="DG75" s="70" t="str">
        <f t="shared" si="166"/>
        <v>X</v>
      </c>
      <c r="DH75" s="74">
        <f t="shared" si="167"/>
        <v>0</v>
      </c>
      <c r="DI75" s="87"/>
      <c r="DJ75" s="87"/>
      <c r="DK75" s="70" t="str">
        <f t="shared" si="168"/>
        <v>X</v>
      </c>
      <c r="DL75" s="74">
        <f t="shared" si="169"/>
        <v>0</v>
      </c>
      <c r="DM75" s="87"/>
      <c r="DN75" s="87"/>
      <c r="DO75" s="70" t="str">
        <f t="shared" si="170"/>
        <v>X</v>
      </c>
      <c r="DP75" s="74">
        <f t="shared" si="171"/>
        <v>0</v>
      </c>
    </row>
  </sheetData>
  <mergeCells count="90">
    <mergeCell ref="DM1:DP1"/>
    <mergeCell ref="DM2:DN2"/>
    <mergeCell ref="DM3:DP3"/>
    <mergeCell ref="A1:A2"/>
    <mergeCell ref="C1:D2"/>
    <mergeCell ref="BQ3:BT3"/>
    <mergeCell ref="AW2:AX2"/>
    <mergeCell ref="BI1:BL1"/>
    <mergeCell ref="U1:X1"/>
    <mergeCell ref="U2:V2"/>
    <mergeCell ref="BM2:BN2"/>
    <mergeCell ref="AG2:AH2"/>
    <mergeCell ref="AS1:AV1"/>
    <mergeCell ref="AK3:AN3"/>
    <mergeCell ref="BQ2:BR2"/>
    <mergeCell ref="I3:L3"/>
    <mergeCell ref="BI3:BL3"/>
    <mergeCell ref="BA3:BD3"/>
    <mergeCell ref="U3:X3"/>
    <mergeCell ref="DI3:DL3"/>
    <mergeCell ref="M1:P1"/>
    <mergeCell ref="AC3:AF3"/>
    <mergeCell ref="AW3:AZ3"/>
    <mergeCell ref="AO3:AR3"/>
    <mergeCell ref="CG3:CJ3"/>
    <mergeCell ref="CS3:CV3"/>
    <mergeCell ref="BY1:CB1"/>
    <mergeCell ref="CG2:CH2"/>
    <mergeCell ref="CS2:CT2"/>
    <mergeCell ref="CW2:CX2"/>
    <mergeCell ref="CC1:CF1"/>
    <mergeCell ref="CW1:CZ1"/>
    <mergeCell ref="CO1:CR1"/>
    <mergeCell ref="DA2:DB2"/>
    <mergeCell ref="DE3:DH3"/>
    <mergeCell ref="DE2:DF2"/>
    <mergeCell ref="DE1:DH1"/>
    <mergeCell ref="AO2:AP2"/>
    <mergeCell ref="BI2:BJ2"/>
    <mergeCell ref="BA2:BB2"/>
    <mergeCell ref="BU2:BV2"/>
    <mergeCell ref="BA1:BD1"/>
    <mergeCell ref="I1:L1"/>
    <mergeCell ref="CW3:CZ3"/>
    <mergeCell ref="Q3:T3"/>
    <mergeCell ref="DA3:DD3"/>
    <mergeCell ref="BU3:BX3"/>
    <mergeCell ref="BY3:CB3"/>
    <mergeCell ref="BE3:BH3"/>
    <mergeCell ref="Y3:AB3"/>
    <mergeCell ref="CC3:CF3"/>
    <mergeCell ref="M2:N2"/>
    <mergeCell ref="Y2:Z2"/>
    <mergeCell ref="BY2:BZ2"/>
    <mergeCell ref="CK2:CL2"/>
    <mergeCell ref="AC1:AF1"/>
    <mergeCell ref="AW1:AZ1"/>
    <mergeCell ref="CG1:CJ1"/>
    <mergeCell ref="DI2:DJ2"/>
    <mergeCell ref="Y1:AB1"/>
    <mergeCell ref="DI1:DL1"/>
    <mergeCell ref="BQ1:BT1"/>
    <mergeCell ref="Q2:R2"/>
    <mergeCell ref="DA1:DD1"/>
    <mergeCell ref="BU1:BX1"/>
    <mergeCell ref="AC2:AD2"/>
    <mergeCell ref="CC2:CD2"/>
    <mergeCell ref="CO2:CP2"/>
    <mergeCell ref="AO1:AR1"/>
    <mergeCell ref="CS1:CV1"/>
    <mergeCell ref="BM1:BP1"/>
    <mergeCell ref="Q1:T1"/>
    <mergeCell ref="AK2:AL2"/>
    <mergeCell ref="AK1:AN1"/>
    <mergeCell ref="E1:E2"/>
    <mergeCell ref="CO3:CR3"/>
    <mergeCell ref="BM3:BP3"/>
    <mergeCell ref="AG1:AJ1"/>
    <mergeCell ref="A3:H3"/>
    <mergeCell ref="CK1:CN1"/>
    <mergeCell ref="AS2:AT2"/>
    <mergeCell ref="F1:G2"/>
    <mergeCell ref="BE2:BF2"/>
    <mergeCell ref="BE1:BH1"/>
    <mergeCell ref="H1:H2"/>
    <mergeCell ref="M3:P3"/>
    <mergeCell ref="AG3:AJ3"/>
    <mergeCell ref="CK3:CN3"/>
    <mergeCell ref="AS3:AV3"/>
    <mergeCell ref="I2:J2"/>
  </mergeCells>
  <conditionalFormatting sqref="E4:G75">
    <cfRule type="expression" dxfId="590" priority="94" stopIfTrue="1">
      <formula>#REF!&gt;#REF!</formula>
    </cfRule>
    <cfRule type="expression" dxfId="589" priority="95" stopIfTrue="1">
      <formula>#REF!&lt;#REF!</formula>
    </cfRule>
  </conditionalFormatting>
  <conditionalFormatting sqref="K4:K75">
    <cfRule type="expression" dxfId="588" priority="1247" stopIfTrue="1">
      <formula>ISBLANK(A1)</formula>
    </cfRule>
  </conditionalFormatting>
  <conditionalFormatting sqref="AS4:AU27 BA4:BC27 O4:O75 S4:S75 W4:W75 AA4:AA75 AE4:AE75 AI4:AI75 AM4:AM75 AQ4:AQ75 AY4:AY75 BG4:BG75 BK4:BK75 BO4:BO75 BS4:BS75 BW4:BW75 CA4:CA75 AU28:AU75 BC28:BC75">
    <cfRule type="expression" dxfId="587" priority="96" stopIfTrue="1">
      <formula>ISBLANK(F1)</formula>
    </cfRule>
  </conditionalFormatting>
  <dataValidations count="1">
    <dataValidation type="list" allowBlank="1" showInputMessage="1" showErrorMessage="1" sqref="M36:N75 Q36:R75 Y36:Z75 AC36:AD75 AK36:AL75 AO36:AP75 BA36:BB75 BE36:BF75 BI36:BJ75 BM36:BN75 BQ36:BR75 BU36:BV75 BY36:BZ75 CC36:CD75 CG36:CH75 CK36:CL75 CO36:CP75 CS36:CT75 CW36:CX75 DA36:DB75 DE36:DF75 DI36:DJ75 DM36:DN75" xr:uid="{00000000-0002-0000-0300-000000000000}">
      <formula1>"0,1,2,3,4,5,6,7,8,9"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2"/>
  <sheetViews>
    <sheetView workbookViewId="0">
      <selection activeCell="A28" sqref="A28"/>
    </sheetView>
  </sheetViews>
  <sheetFormatPr baseColWidth="10" defaultColWidth="11" defaultRowHeight="13"/>
  <sheetData>
    <row r="1" spans="1:1" ht="13" customHeight="1" thickBot="1">
      <c r="A1" s="108" t="s">
        <v>14</v>
      </c>
    </row>
    <row r="2" spans="1:1" ht="13" customHeight="1" thickBot="1">
      <c r="A2" s="108" t="s">
        <v>117</v>
      </c>
    </row>
    <row r="3" spans="1:1" ht="13" customHeight="1" thickBot="1">
      <c r="A3" s="108" t="s">
        <v>118</v>
      </c>
    </row>
    <row r="4" spans="1:1" ht="13" customHeight="1" thickBot="1">
      <c r="A4" s="108" t="s">
        <v>119</v>
      </c>
    </row>
    <row r="5" spans="1:1" ht="13" customHeight="1" thickBot="1">
      <c r="A5" s="108" t="s">
        <v>24</v>
      </c>
    </row>
    <row r="6" spans="1:1" ht="13" customHeight="1" thickBot="1">
      <c r="A6" s="108" t="s">
        <v>120</v>
      </c>
    </row>
    <row r="7" spans="1:1" ht="13" customHeight="1" thickBot="1">
      <c r="A7" s="108" t="s">
        <v>121</v>
      </c>
    </row>
    <row r="8" spans="1:1" ht="13" customHeight="1" thickBot="1">
      <c r="A8" s="108" t="s">
        <v>122</v>
      </c>
    </row>
    <row r="9" spans="1:1" ht="13" customHeight="1" thickBot="1">
      <c r="A9" s="108" t="s">
        <v>28</v>
      </c>
    </row>
    <row r="10" spans="1:1" ht="13" customHeight="1" thickBot="1">
      <c r="A10" s="108" t="s">
        <v>123</v>
      </c>
    </row>
    <row r="11" spans="1:1" ht="13" customHeight="1" thickBot="1">
      <c r="A11" s="108" t="s">
        <v>124</v>
      </c>
    </row>
    <row r="12" spans="1:1" ht="13" customHeight="1" thickBot="1">
      <c r="A12" s="108" t="s">
        <v>29</v>
      </c>
    </row>
    <row r="13" spans="1:1" ht="13" customHeight="1" thickBot="1">
      <c r="A13" s="108" t="s">
        <v>125</v>
      </c>
    </row>
    <row r="14" spans="1:1" ht="13" customHeight="1" thickBot="1">
      <c r="A14" s="108" t="s">
        <v>30</v>
      </c>
    </row>
    <row r="15" spans="1:1" ht="13" customHeight="1" thickBot="1">
      <c r="A15" s="108" t="s">
        <v>126</v>
      </c>
    </row>
    <row r="16" spans="1:1" ht="13" customHeight="1" thickBot="1">
      <c r="A16" s="108" t="s">
        <v>127</v>
      </c>
    </row>
    <row r="17" spans="1:1" ht="13" customHeight="1" thickBot="1">
      <c r="A17" s="108" t="s">
        <v>128</v>
      </c>
    </row>
    <row r="18" spans="1:1" ht="13" customHeight="1" thickBot="1">
      <c r="A18" s="108" t="s">
        <v>129</v>
      </c>
    </row>
    <row r="19" spans="1:1" ht="13" customHeight="1" thickBot="1">
      <c r="A19" s="108" t="s">
        <v>130</v>
      </c>
    </row>
    <row r="20" spans="1:1" ht="13" customHeight="1" thickBot="1">
      <c r="A20" s="108" t="s">
        <v>40</v>
      </c>
    </row>
    <row r="21" spans="1:1" ht="13" customHeight="1" thickBot="1">
      <c r="A21" s="108" t="s">
        <v>41</v>
      </c>
    </row>
    <row r="22" spans="1:1" ht="13" customHeight="1" thickBot="1">
      <c r="A22" s="108" t="s">
        <v>131</v>
      </c>
    </row>
    <row r="23" spans="1:1" ht="13" customHeight="1" thickBot="1">
      <c r="A23" s="108" t="s">
        <v>42</v>
      </c>
    </row>
    <row r="24" spans="1:1" ht="13" customHeight="1" thickBot="1">
      <c r="A24" s="108"/>
    </row>
    <row r="25" spans="1:1" ht="13" customHeight="1" thickBot="1">
      <c r="A25" s="108"/>
    </row>
    <row r="26" spans="1:1" ht="13" customHeight="1" thickBot="1">
      <c r="A26" s="108"/>
    </row>
    <row r="27" spans="1:1" ht="13" customHeight="1" thickBot="1">
      <c r="A27" s="108"/>
    </row>
    <row r="28" spans="1:1" ht="13" customHeight="1" thickBot="1">
      <c r="A28" s="108"/>
    </row>
    <row r="29" spans="1:1" ht="13" customHeight="1" thickBot="1">
      <c r="A29" s="108"/>
    </row>
    <row r="30" spans="1:1" ht="13" customHeight="1" thickBot="1">
      <c r="A30" s="108"/>
    </row>
    <row r="31" spans="1:1" ht="13" customHeight="1">
      <c r="A31" s="108"/>
    </row>
    <row r="32" spans="1: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DK52"/>
  <sheetViews>
    <sheetView zoomScaleNormal="80" workbookViewId="0">
      <pane xSplit="1" ySplit="3" topLeftCell="CM33" activePane="bottomRight" state="frozen"/>
      <selection pane="topRight" activeCell="B1" sqref="B1"/>
      <selection pane="bottomLeft" activeCell="A3" sqref="A3"/>
      <selection pane="bottomRight" activeCell="DM33" sqref="DM33"/>
    </sheetView>
  </sheetViews>
  <sheetFormatPr baseColWidth="10" defaultColWidth="11" defaultRowHeight="13"/>
  <cols>
    <col min="1" max="1" width="15.1640625" style="1" customWidth="1"/>
    <col min="2" max="2" width="7.5" style="1" customWidth="1"/>
    <col min="3" max="3" width="7.83203125" style="1" customWidth="1"/>
    <col min="4" max="5" width="4.5" style="1" customWidth="1"/>
    <col min="6" max="7" width="3.33203125" style="1" customWidth="1"/>
    <col min="8" max="9" width="4.5" style="1" customWidth="1"/>
    <col min="10" max="11" width="3.33203125" style="1" customWidth="1"/>
    <col min="12" max="13" width="4.5" style="1" customWidth="1"/>
    <col min="14" max="15" width="3.33203125" style="1" customWidth="1"/>
    <col min="16" max="17" width="4.5" style="1" customWidth="1"/>
    <col min="18" max="19" width="3.33203125" style="1" customWidth="1"/>
    <col min="20" max="21" width="4.5" style="1" customWidth="1"/>
    <col min="22" max="23" width="3.33203125" style="1" customWidth="1"/>
    <col min="24" max="25" width="4.5" style="1" customWidth="1"/>
    <col min="26" max="27" width="3.33203125" style="1" customWidth="1"/>
    <col min="28" max="29" width="4.5" style="1" customWidth="1"/>
    <col min="30" max="31" width="3.33203125" style="1" customWidth="1"/>
    <col min="32" max="33" width="4.5" style="1" customWidth="1"/>
    <col min="34" max="35" width="3.33203125" style="1" customWidth="1"/>
    <col min="36" max="37" width="4.5" style="1" customWidth="1"/>
    <col min="38" max="39" width="3.33203125" style="1" customWidth="1"/>
    <col min="40" max="41" width="4.5" style="1" customWidth="1"/>
    <col min="42" max="43" width="3.33203125" style="1" customWidth="1"/>
    <col min="44" max="45" width="4.5" style="1" customWidth="1"/>
    <col min="46" max="47" width="3.33203125" style="1" customWidth="1"/>
    <col min="48" max="49" width="4.5" style="1" customWidth="1"/>
    <col min="50" max="51" width="3.33203125" style="1" customWidth="1"/>
    <col min="52" max="53" width="4.5" style="1" customWidth="1"/>
    <col min="54" max="55" width="3.33203125" style="1" customWidth="1"/>
    <col min="56" max="57" width="4.5" style="1" customWidth="1"/>
    <col min="58" max="59" width="3.33203125" style="1" customWidth="1"/>
    <col min="60" max="61" width="4.5" style="1" customWidth="1"/>
    <col min="62" max="63" width="3.33203125" style="1" customWidth="1"/>
    <col min="64" max="65" width="4.5" style="1" customWidth="1"/>
    <col min="66" max="67" width="3.33203125" style="1" customWidth="1"/>
    <col min="68" max="69" width="4.5" style="1" customWidth="1"/>
    <col min="70" max="71" width="3.33203125" style="1" customWidth="1"/>
    <col min="72" max="73" width="4.5" style="1" customWidth="1"/>
    <col min="74" max="75" width="3.33203125" style="1" customWidth="1"/>
    <col min="76" max="77" width="4.5" style="1" customWidth="1"/>
    <col min="78" max="79" width="3.33203125" style="1" customWidth="1"/>
    <col min="80" max="81" width="4.5" style="1" customWidth="1"/>
    <col min="82" max="83" width="3.33203125" style="1" customWidth="1"/>
    <col min="84" max="85" width="4.5" style="1" customWidth="1"/>
    <col min="86" max="87" width="3.33203125" style="1" customWidth="1"/>
    <col min="88" max="89" width="4.5" style="1" customWidth="1"/>
    <col min="90" max="91" width="3.33203125" style="1" customWidth="1"/>
    <col min="92" max="93" width="4.5" style="1" customWidth="1"/>
    <col min="94" max="94" width="3.5" style="1" customWidth="1"/>
    <col min="95" max="95" width="3.33203125" style="1" customWidth="1"/>
    <col min="96" max="97" width="4.5" style="1" customWidth="1"/>
    <col min="98" max="98" width="3.5" style="1" customWidth="1"/>
    <col min="99" max="99" width="3.33203125" style="1" customWidth="1"/>
    <col min="100" max="101" width="4.5" style="1" customWidth="1"/>
    <col min="102" max="102" width="3.5" style="1" customWidth="1"/>
    <col min="103" max="103" width="3.33203125" style="1" customWidth="1"/>
    <col min="104" max="105" width="4.5" style="1" customWidth="1"/>
    <col min="106" max="106" width="3.5" style="1" customWidth="1"/>
    <col min="107" max="107" width="3.33203125" style="1" customWidth="1"/>
    <col min="108" max="109" width="4.5" style="1" customWidth="1"/>
    <col min="110" max="110" width="3.5" style="1" customWidth="1"/>
    <col min="111" max="111" width="3.33203125" style="1" customWidth="1"/>
    <col min="112" max="113" width="4.5" style="1" customWidth="1"/>
    <col min="114" max="114" width="3.5" style="1" customWidth="1"/>
    <col min="115" max="115" width="3.33203125" style="1" customWidth="1"/>
    <col min="116" max="16384" width="11" style="1"/>
  </cols>
  <sheetData>
    <row r="1" spans="1:115" s="15" customFormat="1" ht="15.75" customHeight="1" thickBot="1">
      <c r="A1" s="156" t="s">
        <v>132</v>
      </c>
      <c r="B1" s="157" t="s">
        <v>133</v>
      </c>
      <c r="C1" s="155" t="s">
        <v>5</v>
      </c>
      <c r="D1" s="159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</row>
    <row r="2" spans="1:115" s="15" customFormat="1" ht="17" customHeight="1" thickBot="1">
      <c r="A2" s="146"/>
      <c r="B2" s="158"/>
      <c r="C2" s="136"/>
      <c r="D2" s="140" t="s">
        <v>10</v>
      </c>
      <c r="E2" s="138"/>
      <c r="F2" s="138"/>
      <c r="G2" s="139"/>
      <c r="H2" s="140" t="s">
        <v>12</v>
      </c>
      <c r="I2" s="138"/>
      <c r="J2" s="138"/>
      <c r="K2" s="139"/>
      <c r="L2" s="140" t="s">
        <v>14</v>
      </c>
      <c r="M2" s="138"/>
      <c r="N2" s="138"/>
      <c r="O2" s="139"/>
      <c r="P2" s="140" t="s">
        <v>16</v>
      </c>
      <c r="Q2" s="138"/>
      <c r="R2" s="138"/>
      <c r="S2" s="139"/>
      <c r="T2" s="140" t="s">
        <v>18</v>
      </c>
      <c r="U2" s="138"/>
      <c r="V2" s="138"/>
      <c r="W2" s="139"/>
      <c r="X2" s="140" t="s">
        <v>20</v>
      </c>
      <c r="Y2" s="138"/>
      <c r="Z2" s="138"/>
      <c r="AA2" s="139"/>
      <c r="AB2" s="140" t="s">
        <v>22</v>
      </c>
      <c r="AC2" s="138"/>
      <c r="AD2" s="138"/>
      <c r="AE2" s="139"/>
      <c r="AF2" s="140" t="s">
        <v>24</v>
      </c>
      <c r="AG2" s="138"/>
      <c r="AH2" s="138"/>
      <c r="AI2" s="139"/>
      <c r="AJ2" s="140" t="s">
        <v>25</v>
      </c>
      <c r="AK2" s="138"/>
      <c r="AL2" s="138"/>
      <c r="AM2" s="139"/>
      <c r="AN2" s="140" t="s">
        <v>26</v>
      </c>
      <c r="AO2" s="138"/>
      <c r="AP2" s="138"/>
      <c r="AQ2" s="139"/>
      <c r="AR2" s="140" t="s">
        <v>27</v>
      </c>
      <c r="AS2" s="138"/>
      <c r="AT2" s="138"/>
      <c r="AU2" s="139"/>
      <c r="AV2" s="140" t="s">
        <v>28</v>
      </c>
      <c r="AW2" s="138"/>
      <c r="AX2" s="138"/>
      <c r="AY2" s="139"/>
      <c r="AZ2" s="140" t="s">
        <v>29</v>
      </c>
      <c r="BA2" s="138"/>
      <c r="BB2" s="138"/>
      <c r="BC2" s="139"/>
      <c r="BD2" s="140" t="s">
        <v>30</v>
      </c>
      <c r="BE2" s="138"/>
      <c r="BF2" s="138"/>
      <c r="BG2" s="139"/>
      <c r="BH2" s="140" t="s">
        <v>31</v>
      </c>
      <c r="BI2" s="138"/>
      <c r="BJ2" s="138"/>
      <c r="BK2" s="139"/>
      <c r="BL2" s="140" t="s">
        <v>32</v>
      </c>
      <c r="BM2" s="138"/>
      <c r="BN2" s="138"/>
      <c r="BO2" s="139"/>
      <c r="BP2" s="140" t="s">
        <v>33</v>
      </c>
      <c r="BQ2" s="138"/>
      <c r="BR2" s="138"/>
      <c r="BS2" s="139"/>
      <c r="BT2" s="140" t="s">
        <v>34</v>
      </c>
      <c r="BU2" s="138"/>
      <c r="BV2" s="138"/>
      <c r="BW2" s="139"/>
      <c r="BX2" s="140" t="s">
        <v>35</v>
      </c>
      <c r="BY2" s="138"/>
      <c r="BZ2" s="138"/>
      <c r="CA2" s="139"/>
      <c r="CB2" s="140" t="s">
        <v>36</v>
      </c>
      <c r="CC2" s="138"/>
      <c r="CD2" s="138"/>
      <c r="CE2" s="139"/>
      <c r="CF2" s="140" t="s">
        <v>37</v>
      </c>
      <c r="CG2" s="138"/>
      <c r="CH2" s="138"/>
      <c r="CI2" s="139"/>
      <c r="CJ2" s="140" t="s">
        <v>38</v>
      </c>
      <c r="CK2" s="138"/>
      <c r="CL2" s="138"/>
      <c r="CM2" s="139"/>
      <c r="CN2" s="140" t="s">
        <v>39</v>
      </c>
      <c r="CO2" s="138"/>
      <c r="CP2" s="138"/>
      <c r="CQ2" s="139"/>
      <c r="CR2" s="140" t="s">
        <v>40</v>
      </c>
      <c r="CS2" s="138"/>
      <c r="CT2" s="138"/>
      <c r="CU2" s="139"/>
      <c r="CV2" s="140" t="s">
        <v>41</v>
      </c>
      <c r="CW2" s="138"/>
      <c r="CX2" s="138"/>
      <c r="CY2" s="139"/>
      <c r="CZ2" s="140" t="s">
        <v>42</v>
      </c>
      <c r="DA2" s="138"/>
      <c r="DB2" s="138"/>
      <c r="DC2" s="139"/>
      <c r="DD2" s="140" t="s">
        <v>43</v>
      </c>
      <c r="DE2" s="138"/>
      <c r="DF2" s="138"/>
      <c r="DG2" s="139"/>
      <c r="DH2" s="140" t="s">
        <v>129</v>
      </c>
      <c r="DI2" s="138"/>
      <c r="DJ2" s="138"/>
      <c r="DK2" s="139"/>
    </row>
    <row r="3" spans="1:115" s="15" customFormat="1" ht="14" customHeight="1" thickBot="1">
      <c r="A3" s="146"/>
      <c r="B3" s="125" t="s">
        <v>134</v>
      </c>
      <c r="C3" s="126" t="s">
        <v>135</v>
      </c>
      <c r="D3" s="120" t="s">
        <v>134</v>
      </c>
      <c r="E3" s="119" t="s">
        <v>135</v>
      </c>
      <c r="F3" s="153" t="s">
        <v>136</v>
      </c>
      <c r="G3" s="154"/>
      <c r="H3" s="118" t="s">
        <v>134</v>
      </c>
      <c r="I3" s="119" t="s">
        <v>135</v>
      </c>
      <c r="J3" s="153" t="s">
        <v>136</v>
      </c>
      <c r="K3" s="154"/>
      <c r="L3" s="118" t="s">
        <v>134</v>
      </c>
      <c r="M3" s="119" t="s">
        <v>135</v>
      </c>
      <c r="N3" s="153" t="s">
        <v>136</v>
      </c>
      <c r="O3" s="154"/>
      <c r="P3" s="118" t="s">
        <v>134</v>
      </c>
      <c r="Q3" s="119" t="s">
        <v>135</v>
      </c>
      <c r="R3" s="153" t="s">
        <v>136</v>
      </c>
      <c r="S3" s="154"/>
      <c r="T3" s="118" t="s">
        <v>134</v>
      </c>
      <c r="U3" s="119" t="s">
        <v>135</v>
      </c>
      <c r="V3" s="153" t="s">
        <v>136</v>
      </c>
      <c r="W3" s="154"/>
      <c r="X3" s="118" t="s">
        <v>134</v>
      </c>
      <c r="Y3" s="119" t="s">
        <v>135</v>
      </c>
      <c r="Z3" s="153" t="s">
        <v>136</v>
      </c>
      <c r="AA3" s="154"/>
      <c r="AB3" s="118" t="s">
        <v>134</v>
      </c>
      <c r="AC3" s="119" t="s">
        <v>135</v>
      </c>
      <c r="AD3" s="153" t="s">
        <v>136</v>
      </c>
      <c r="AE3" s="154"/>
      <c r="AF3" s="118" t="s">
        <v>134</v>
      </c>
      <c r="AG3" s="119" t="s">
        <v>135</v>
      </c>
      <c r="AH3" s="153" t="s">
        <v>136</v>
      </c>
      <c r="AI3" s="154"/>
      <c r="AJ3" s="118" t="s">
        <v>134</v>
      </c>
      <c r="AK3" s="119" t="s">
        <v>135</v>
      </c>
      <c r="AL3" s="153" t="s">
        <v>136</v>
      </c>
      <c r="AM3" s="154"/>
      <c r="AN3" s="118" t="s">
        <v>134</v>
      </c>
      <c r="AO3" s="119" t="s">
        <v>135</v>
      </c>
      <c r="AP3" s="153" t="s">
        <v>136</v>
      </c>
      <c r="AQ3" s="154"/>
      <c r="AR3" s="118" t="s">
        <v>134</v>
      </c>
      <c r="AS3" s="119" t="s">
        <v>135</v>
      </c>
      <c r="AT3" s="153" t="s">
        <v>136</v>
      </c>
      <c r="AU3" s="154"/>
      <c r="AV3" s="118" t="s">
        <v>134</v>
      </c>
      <c r="AW3" s="119" t="s">
        <v>135</v>
      </c>
      <c r="AX3" s="153" t="s">
        <v>136</v>
      </c>
      <c r="AY3" s="154"/>
      <c r="AZ3" s="118" t="s">
        <v>134</v>
      </c>
      <c r="BA3" s="119" t="s">
        <v>135</v>
      </c>
      <c r="BB3" s="153" t="s">
        <v>136</v>
      </c>
      <c r="BC3" s="154"/>
      <c r="BD3" s="118" t="s">
        <v>134</v>
      </c>
      <c r="BE3" s="119" t="s">
        <v>135</v>
      </c>
      <c r="BF3" s="153" t="s">
        <v>136</v>
      </c>
      <c r="BG3" s="154"/>
      <c r="BH3" s="118" t="s">
        <v>134</v>
      </c>
      <c r="BI3" s="119" t="s">
        <v>135</v>
      </c>
      <c r="BJ3" s="153" t="s">
        <v>136</v>
      </c>
      <c r="BK3" s="154"/>
      <c r="BL3" s="118" t="s">
        <v>134</v>
      </c>
      <c r="BM3" s="119" t="s">
        <v>135</v>
      </c>
      <c r="BN3" s="153" t="s">
        <v>136</v>
      </c>
      <c r="BO3" s="154"/>
      <c r="BP3" s="118" t="s">
        <v>134</v>
      </c>
      <c r="BQ3" s="119" t="s">
        <v>135</v>
      </c>
      <c r="BR3" s="153" t="s">
        <v>136</v>
      </c>
      <c r="BS3" s="154"/>
      <c r="BT3" s="118" t="s">
        <v>134</v>
      </c>
      <c r="BU3" s="119" t="s">
        <v>135</v>
      </c>
      <c r="BV3" s="153" t="s">
        <v>136</v>
      </c>
      <c r="BW3" s="154"/>
      <c r="BX3" s="118" t="s">
        <v>134</v>
      </c>
      <c r="BY3" s="119" t="s">
        <v>135</v>
      </c>
      <c r="BZ3" s="153" t="s">
        <v>136</v>
      </c>
      <c r="CA3" s="154"/>
      <c r="CB3" s="118" t="s">
        <v>134</v>
      </c>
      <c r="CC3" s="119" t="s">
        <v>135</v>
      </c>
      <c r="CD3" s="153" t="s">
        <v>136</v>
      </c>
      <c r="CE3" s="154"/>
      <c r="CF3" s="118" t="s">
        <v>134</v>
      </c>
      <c r="CG3" s="119" t="s">
        <v>135</v>
      </c>
      <c r="CH3" s="153" t="s">
        <v>136</v>
      </c>
      <c r="CI3" s="154"/>
      <c r="CJ3" s="118" t="s">
        <v>134</v>
      </c>
      <c r="CK3" s="119" t="s">
        <v>135</v>
      </c>
      <c r="CL3" s="153" t="s">
        <v>136</v>
      </c>
      <c r="CM3" s="154"/>
      <c r="CN3" s="118" t="s">
        <v>134</v>
      </c>
      <c r="CO3" s="119" t="s">
        <v>135</v>
      </c>
      <c r="CP3" s="153" t="s">
        <v>136</v>
      </c>
      <c r="CQ3" s="154"/>
      <c r="CR3" s="118" t="s">
        <v>134</v>
      </c>
      <c r="CS3" s="119" t="s">
        <v>135</v>
      </c>
      <c r="CT3" s="153" t="s">
        <v>136</v>
      </c>
      <c r="CU3" s="154"/>
      <c r="CV3" s="118" t="s">
        <v>134</v>
      </c>
      <c r="CW3" s="119" t="s">
        <v>135</v>
      </c>
      <c r="CX3" s="153" t="s">
        <v>136</v>
      </c>
      <c r="CY3" s="154"/>
      <c r="CZ3" s="118" t="s">
        <v>134</v>
      </c>
      <c r="DA3" s="119" t="s">
        <v>135</v>
      </c>
      <c r="DB3" s="153" t="s">
        <v>136</v>
      </c>
      <c r="DC3" s="154"/>
      <c r="DD3" s="118" t="s">
        <v>134</v>
      </c>
      <c r="DE3" s="119" t="s">
        <v>135</v>
      </c>
      <c r="DF3" s="153" t="s">
        <v>136</v>
      </c>
      <c r="DG3" s="154"/>
      <c r="DH3" s="118" t="s">
        <v>134</v>
      </c>
      <c r="DI3" s="119" t="s">
        <v>135</v>
      </c>
      <c r="DJ3" s="153" t="s">
        <v>136</v>
      </c>
      <c r="DK3" s="154"/>
    </row>
    <row r="4" spans="1:115" ht="16" customHeight="1" thickBot="1">
      <c r="A4" s="134" t="s">
        <v>47</v>
      </c>
      <c r="B4" s="133" t="s">
        <v>137</v>
      </c>
      <c r="C4" s="124" t="s">
        <v>137</v>
      </c>
      <c r="D4" s="121"/>
      <c r="E4" s="115"/>
      <c r="F4" s="116">
        <f t="shared" ref="F4:F51" si="0">IF(D4=$B4,2,0)</f>
        <v>0</v>
      </c>
      <c r="G4" s="117">
        <f t="shared" ref="G4:G51" si="1">IF(E4=$C4,8,0)</f>
        <v>0</v>
      </c>
      <c r="H4" s="114"/>
      <c r="I4" s="115"/>
      <c r="J4" s="116">
        <f t="shared" ref="J4:J51" si="2">IF(H4=$B4,2,0)</f>
        <v>0</v>
      </c>
      <c r="K4" s="117">
        <f t="shared" ref="K4:K51" si="3">IF(I4=$C4,8,0)</f>
        <v>0</v>
      </c>
      <c r="L4" s="114"/>
      <c r="M4" s="115"/>
      <c r="N4" s="116">
        <f t="shared" ref="N4:N51" si="4">IF(L4=$B4,2,0)</f>
        <v>0</v>
      </c>
      <c r="O4" s="117">
        <f t="shared" ref="O4:O51" si="5">IF(M4=$C4,8,0)</f>
        <v>0</v>
      </c>
      <c r="P4" s="114"/>
      <c r="Q4" s="115"/>
      <c r="R4" s="116">
        <f t="shared" ref="R4:R51" si="6">IF(P4=$B4,2,0)</f>
        <v>0</v>
      </c>
      <c r="S4" s="117">
        <f t="shared" ref="S4:S51" si="7">IF(Q4=$C4,8,0)</f>
        <v>0</v>
      </c>
      <c r="T4" s="114"/>
      <c r="U4" s="115"/>
      <c r="V4" s="116">
        <f t="shared" ref="V4:V51" si="8">IF(T4=$B4,2,0)</f>
        <v>0</v>
      </c>
      <c r="W4" s="117">
        <f t="shared" ref="W4:W51" si="9">IF(U4=$C4,8,0)</f>
        <v>0</v>
      </c>
      <c r="X4" s="114"/>
      <c r="Y4" s="115"/>
      <c r="Z4" s="116">
        <f t="shared" ref="Z4:Z51" si="10">IF(X4=$B4,2,0)</f>
        <v>0</v>
      </c>
      <c r="AA4" s="117">
        <f t="shared" ref="AA4:AA51" si="11">IF(Y4=$C4,8,0)</f>
        <v>0</v>
      </c>
      <c r="AB4" s="114"/>
      <c r="AC4" s="115"/>
      <c r="AD4" s="116">
        <f t="shared" ref="AD4:AD51" si="12">IF(AB4=$B4,2,0)</f>
        <v>0</v>
      </c>
      <c r="AE4" s="117">
        <f t="shared" ref="AE4:AE51" si="13">IF(AC4=$C4,8,0)</f>
        <v>0</v>
      </c>
      <c r="AF4" s="114"/>
      <c r="AG4" s="115"/>
      <c r="AH4" s="116">
        <f t="shared" ref="AH4:AH51" si="14">IF(AF4=$B4,2,0)</f>
        <v>0</v>
      </c>
      <c r="AI4" s="117">
        <f t="shared" ref="AI4:AI51" si="15">IF(AG4=$C4,8,0)</f>
        <v>0</v>
      </c>
      <c r="AJ4" s="114"/>
      <c r="AK4" s="115"/>
      <c r="AL4" s="116">
        <f t="shared" ref="AL4:AL51" si="16">IF(AJ4=$B4,2,0)</f>
        <v>0</v>
      </c>
      <c r="AM4" s="117">
        <f t="shared" ref="AM4:AM51" si="17">IF(AK4=$C4,8,0)</f>
        <v>0</v>
      </c>
      <c r="AN4" s="114"/>
      <c r="AO4" s="115"/>
      <c r="AP4" s="116">
        <f t="shared" ref="AP4:AP51" si="18">IF(AN4=$B4,2,0)</f>
        <v>0</v>
      </c>
      <c r="AQ4" s="117">
        <f t="shared" ref="AQ4:AQ51" si="19">IF(AO4=$C4,8,0)</f>
        <v>0</v>
      </c>
      <c r="AR4" s="114"/>
      <c r="AS4" s="115"/>
      <c r="AT4" s="116">
        <f t="shared" ref="AT4:AT51" si="20">IF(AR4=$B4,2,0)</f>
        <v>0</v>
      </c>
      <c r="AU4" s="117">
        <f t="shared" ref="AU4:AU51" si="21">IF(AS4=$C4,8,0)</f>
        <v>0</v>
      </c>
      <c r="AV4" s="114"/>
      <c r="AW4" s="115"/>
      <c r="AX4" s="116">
        <f t="shared" ref="AX4:AX51" si="22">IF(AV4=$B4,2,0)</f>
        <v>0</v>
      </c>
      <c r="AY4" s="117">
        <f t="shared" ref="AY4:AY51" si="23">IF(AW4=$C4,8,0)</f>
        <v>0</v>
      </c>
      <c r="AZ4" s="114"/>
      <c r="BA4" s="115"/>
      <c r="BB4" s="116">
        <f t="shared" ref="BB4:BB51" si="24">IF(AZ4=$B4,2,0)</f>
        <v>0</v>
      </c>
      <c r="BC4" s="117">
        <f t="shared" ref="BC4:BC51" si="25">IF(BA4=$C4,8,0)</f>
        <v>0</v>
      </c>
      <c r="BD4" s="114"/>
      <c r="BE4" s="115"/>
      <c r="BF4" s="116">
        <f t="shared" ref="BF4:BF51" si="26">IF(BD4=$B4,2,0)</f>
        <v>0</v>
      </c>
      <c r="BG4" s="117">
        <f t="shared" ref="BG4:BG51" si="27">IF(BE4=$C4,8,0)</f>
        <v>0</v>
      </c>
      <c r="BH4" s="114"/>
      <c r="BI4" s="115"/>
      <c r="BJ4" s="116">
        <f t="shared" ref="BJ4:BJ51" si="28">IF(BH4=$B4,2,0)</f>
        <v>0</v>
      </c>
      <c r="BK4" s="117">
        <f t="shared" ref="BK4:BK51" si="29">IF(BI4=$C4,8,0)</f>
        <v>0</v>
      </c>
      <c r="BL4" s="114"/>
      <c r="BM4" s="115"/>
      <c r="BN4" s="116">
        <f t="shared" ref="BN4:BN51" si="30">IF(BL4=$B4,2,0)</f>
        <v>0</v>
      </c>
      <c r="BO4" s="117">
        <f t="shared" ref="BO4:BO51" si="31">IF(BM4=$C4,8,0)</f>
        <v>0</v>
      </c>
      <c r="BP4" s="114"/>
      <c r="BQ4" s="115"/>
      <c r="BR4" s="116">
        <f t="shared" ref="BR4:BR51" si="32">IF(BP4=$B4,2,0)</f>
        <v>0</v>
      </c>
      <c r="BS4" s="117">
        <f t="shared" ref="BS4:BS51" si="33">IF(BQ4=$C4,8,0)</f>
        <v>0</v>
      </c>
      <c r="BT4" s="114"/>
      <c r="BU4" s="115"/>
      <c r="BV4" s="116">
        <f t="shared" ref="BV4:BV51" si="34">IF(BT4=$B4,2,0)</f>
        <v>0</v>
      </c>
      <c r="BW4" s="117">
        <f t="shared" ref="BW4:BW51" si="35">IF(BU4=$C4,8,0)</f>
        <v>0</v>
      </c>
      <c r="BX4" s="114"/>
      <c r="BY4" s="115"/>
      <c r="BZ4" s="116">
        <f t="shared" ref="BZ4:BZ51" si="36">IF(BX4=$B4,2,0)</f>
        <v>0</v>
      </c>
      <c r="CA4" s="117">
        <f t="shared" ref="CA4:CA51" si="37">IF(BY4=$C4,8,0)</f>
        <v>0</v>
      </c>
      <c r="CB4" s="114"/>
      <c r="CC4" s="115"/>
      <c r="CD4" s="116">
        <f t="shared" ref="CD4:CD51" si="38">IF(CB4=$B4,2,0)</f>
        <v>0</v>
      </c>
      <c r="CE4" s="117">
        <f t="shared" ref="CE4:CE51" si="39">IF(CC4=$C4,8,0)</f>
        <v>0</v>
      </c>
      <c r="CF4" s="114"/>
      <c r="CG4" s="115"/>
      <c r="CH4" s="116">
        <f t="shared" ref="CH4:CH51" si="40">IF(CF4=$B4,2,0)</f>
        <v>0</v>
      </c>
      <c r="CI4" s="117">
        <f t="shared" ref="CI4:CI51" si="41">IF(CG4=$C4,8,0)</f>
        <v>0</v>
      </c>
      <c r="CJ4" s="114"/>
      <c r="CK4" s="115"/>
      <c r="CL4" s="116">
        <f t="shared" ref="CL4:CL51" si="42">IF(CJ4=$B4,2,0)</f>
        <v>0</v>
      </c>
      <c r="CM4" s="117">
        <f t="shared" ref="CM4:CM51" si="43">IF(CK4=$C4,8,0)</f>
        <v>0</v>
      </c>
      <c r="CN4" s="114"/>
      <c r="CO4" s="115"/>
      <c r="CP4" s="116">
        <f t="shared" ref="CP4:CP51" si="44">IF(CN4=$B4,2,0)</f>
        <v>0</v>
      </c>
      <c r="CQ4" s="117">
        <f t="shared" ref="CQ4:CQ51" si="45">IF(CO4=$C4,8,0)</f>
        <v>0</v>
      </c>
      <c r="CR4" s="114"/>
      <c r="CS4" s="115"/>
      <c r="CT4" s="116">
        <f t="shared" ref="CT4:CT51" si="46">IF(CR4=$B4,2,0)</f>
        <v>0</v>
      </c>
      <c r="CU4" s="117">
        <f t="shared" ref="CU4:CU51" si="47">IF(CS4=$C4,8,0)</f>
        <v>0</v>
      </c>
      <c r="CV4" s="114"/>
      <c r="CW4" s="115"/>
      <c r="CX4" s="116">
        <f t="shared" ref="CX4:CX51" si="48">IF(CV4=$B4,2,0)</f>
        <v>0</v>
      </c>
      <c r="CY4" s="117">
        <f t="shared" ref="CY4:CY51" si="49">IF(CW4=$C4,8,0)</f>
        <v>0</v>
      </c>
      <c r="CZ4" s="114"/>
      <c r="DA4" s="115"/>
      <c r="DB4" s="116">
        <f t="shared" ref="DB4:DB51" si="50">IF(CZ4=$B4,2,0)</f>
        <v>0</v>
      </c>
      <c r="DC4" s="117">
        <f t="shared" ref="DC4:DC51" si="51">IF(DA4=$C4,8,0)</f>
        <v>0</v>
      </c>
      <c r="DD4" s="114"/>
      <c r="DE4" s="115"/>
      <c r="DF4" s="116">
        <f t="shared" ref="DF4:DF51" si="52">IF(DD4=$B4,2,0)</f>
        <v>0</v>
      </c>
      <c r="DG4" s="117">
        <f t="shared" ref="DG4:DG51" si="53">IF(DE4=$C4,8,0)</f>
        <v>0</v>
      </c>
      <c r="DH4" s="114"/>
      <c r="DI4" s="115"/>
      <c r="DJ4" s="116">
        <f t="shared" ref="DJ4:DJ51" si="54">IF(DH4=$B4,2,0)</f>
        <v>0</v>
      </c>
      <c r="DK4" s="117">
        <f t="shared" ref="DK4:DK51" si="55">IF(DI4=$C4,8,0)</f>
        <v>0</v>
      </c>
    </row>
    <row r="5" spans="1:115" ht="16" customHeight="1" thickBot="1">
      <c r="A5" s="134" t="s">
        <v>48</v>
      </c>
      <c r="B5" s="133" t="s">
        <v>137</v>
      </c>
      <c r="C5" s="124" t="s">
        <v>137</v>
      </c>
      <c r="D5" s="122"/>
      <c r="E5" s="10"/>
      <c r="F5" s="9">
        <f t="shared" si="0"/>
        <v>0</v>
      </c>
      <c r="G5" s="8">
        <f t="shared" si="1"/>
        <v>0</v>
      </c>
      <c r="H5" s="7"/>
      <c r="I5" s="10"/>
      <c r="J5" s="9">
        <f t="shared" si="2"/>
        <v>0</v>
      </c>
      <c r="K5" s="8">
        <f t="shared" si="3"/>
        <v>0</v>
      </c>
      <c r="L5" s="7"/>
      <c r="M5" s="10"/>
      <c r="N5" s="9">
        <f t="shared" si="4"/>
        <v>0</v>
      </c>
      <c r="O5" s="8">
        <f t="shared" si="5"/>
        <v>0</v>
      </c>
      <c r="P5" s="7"/>
      <c r="Q5" s="10"/>
      <c r="R5" s="9">
        <f t="shared" si="6"/>
        <v>0</v>
      </c>
      <c r="S5" s="8">
        <f t="shared" si="7"/>
        <v>0</v>
      </c>
      <c r="T5" s="7"/>
      <c r="U5" s="10"/>
      <c r="V5" s="9">
        <f t="shared" si="8"/>
        <v>0</v>
      </c>
      <c r="W5" s="8">
        <f t="shared" si="9"/>
        <v>0</v>
      </c>
      <c r="X5" s="7"/>
      <c r="Y5" s="10"/>
      <c r="Z5" s="9">
        <f t="shared" si="10"/>
        <v>0</v>
      </c>
      <c r="AA5" s="8">
        <f t="shared" si="11"/>
        <v>0</v>
      </c>
      <c r="AB5" s="7"/>
      <c r="AC5" s="10"/>
      <c r="AD5" s="9">
        <f t="shared" si="12"/>
        <v>0</v>
      </c>
      <c r="AE5" s="8">
        <f t="shared" si="13"/>
        <v>0</v>
      </c>
      <c r="AF5" s="7"/>
      <c r="AG5" s="10"/>
      <c r="AH5" s="9">
        <f t="shared" si="14"/>
        <v>0</v>
      </c>
      <c r="AI5" s="8">
        <f t="shared" si="15"/>
        <v>0</v>
      </c>
      <c r="AJ5" s="7"/>
      <c r="AK5" s="10"/>
      <c r="AL5" s="9">
        <f t="shared" si="16"/>
        <v>0</v>
      </c>
      <c r="AM5" s="8">
        <f t="shared" si="17"/>
        <v>0</v>
      </c>
      <c r="AN5" s="7"/>
      <c r="AO5" s="10"/>
      <c r="AP5" s="9">
        <f t="shared" si="18"/>
        <v>0</v>
      </c>
      <c r="AQ5" s="8">
        <f t="shared" si="19"/>
        <v>0</v>
      </c>
      <c r="AR5" s="7"/>
      <c r="AS5" s="10"/>
      <c r="AT5" s="9">
        <f t="shared" si="20"/>
        <v>0</v>
      </c>
      <c r="AU5" s="8">
        <f t="shared" si="21"/>
        <v>0</v>
      </c>
      <c r="AV5" s="7"/>
      <c r="AW5" s="10"/>
      <c r="AX5" s="9">
        <f t="shared" si="22"/>
        <v>0</v>
      </c>
      <c r="AY5" s="8">
        <f t="shared" si="23"/>
        <v>0</v>
      </c>
      <c r="AZ5" s="7"/>
      <c r="BA5" s="10"/>
      <c r="BB5" s="9">
        <f t="shared" si="24"/>
        <v>0</v>
      </c>
      <c r="BC5" s="8">
        <f t="shared" si="25"/>
        <v>0</v>
      </c>
      <c r="BD5" s="7"/>
      <c r="BE5" s="10"/>
      <c r="BF5" s="9">
        <f t="shared" si="26"/>
        <v>0</v>
      </c>
      <c r="BG5" s="8">
        <f t="shared" si="27"/>
        <v>0</v>
      </c>
      <c r="BH5" s="7"/>
      <c r="BI5" s="10"/>
      <c r="BJ5" s="9">
        <f t="shared" si="28"/>
        <v>0</v>
      </c>
      <c r="BK5" s="8">
        <f t="shared" si="29"/>
        <v>0</v>
      </c>
      <c r="BL5" s="7"/>
      <c r="BM5" s="10"/>
      <c r="BN5" s="9">
        <f t="shared" si="30"/>
        <v>0</v>
      </c>
      <c r="BO5" s="8">
        <f t="shared" si="31"/>
        <v>0</v>
      </c>
      <c r="BP5" s="7"/>
      <c r="BQ5" s="10"/>
      <c r="BR5" s="9">
        <f t="shared" si="32"/>
        <v>0</v>
      </c>
      <c r="BS5" s="8">
        <f t="shared" si="33"/>
        <v>0</v>
      </c>
      <c r="BT5" s="7"/>
      <c r="BU5" s="10"/>
      <c r="BV5" s="9">
        <f t="shared" si="34"/>
        <v>0</v>
      </c>
      <c r="BW5" s="8">
        <f t="shared" si="35"/>
        <v>0</v>
      </c>
      <c r="BX5" s="7"/>
      <c r="BY5" s="10"/>
      <c r="BZ5" s="9">
        <f t="shared" si="36"/>
        <v>0</v>
      </c>
      <c r="CA5" s="8">
        <f t="shared" si="37"/>
        <v>0</v>
      </c>
      <c r="CB5" s="7"/>
      <c r="CC5" s="10"/>
      <c r="CD5" s="9">
        <f t="shared" si="38"/>
        <v>0</v>
      </c>
      <c r="CE5" s="8">
        <f t="shared" si="39"/>
        <v>0</v>
      </c>
      <c r="CF5" s="7"/>
      <c r="CG5" s="10"/>
      <c r="CH5" s="9">
        <f t="shared" si="40"/>
        <v>0</v>
      </c>
      <c r="CI5" s="8">
        <f t="shared" si="41"/>
        <v>0</v>
      </c>
      <c r="CJ5" s="7"/>
      <c r="CK5" s="10"/>
      <c r="CL5" s="9">
        <f t="shared" si="42"/>
        <v>0</v>
      </c>
      <c r="CM5" s="8">
        <f t="shared" si="43"/>
        <v>0</v>
      </c>
      <c r="CN5" s="7"/>
      <c r="CO5" s="10"/>
      <c r="CP5" s="9">
        <f t="shared" si="44"/>
        <v>0</v>
      </c>
      <c r="CQ5" s="8">
        <f t="shared" si="45"/>
        <v>0</v>
      </c>
      <c r="CR5" s="7"/>
      <c r="CS5" s="10"/>
      <c r="CT5" s="9">
        <f t="shared" si="46"/>
        <v>0</v>
      </c>
      <c r="CU5" s="8">
        <f t="shared" si="47"/>
        <v>0</v>
      </c>
      <c r="CV5" s="7"/>
      <c r="CW5" s="10"/>
      <c r="CX5" s="9">
        <f t="shared" si="48"/>
        <v>0</v>
      </c>
      <c r="CY5" s="8">
        <f t="shared" si="49"/>
        <v>0</v>
      </c>
      <c r="CZ5" s="7"/>
      <c r="DA5" s="10"/>
      <c r="DB5" s="9">
        <f t="shared" si="50"/>
        <v>0</v>
      </c>
      <c r="DC5" s="8">
        <f t="shared" si="51"/>
        <v>0</v>
      </c>
      <c r="DD5" s="7"/>
      <c r="DE5" s="10"/>
      <c r="DF5" s="9">
        <f t="shared" si="52"/>
        <v>0</v>
      </c>
      <c r="DG5" s="8">
        <f t="shared" si="53"/>
        <v>0</v>
      </c>
      <c r="DH5" s="7"/>
      <c r="DI5" s="10"/>
      <c r="DJ5" s="9">
        <f t="shared" si="54"/>
        <v>0</v>
      </c>
      <c r="DK5" s="8">
        <f t="shared" si="55"/>
        <v>0</v>
      </c>
    </row>
    <row r="6" spans="1:115" ht="16" customHeight="1" thickBot="1">
      <c r="A6" s="134" t="s">
        <v>49</v>
      </c>
      <c r="B6" s="133" t="s">
        <v>137</v>
      </c>
      <c r="C6" s="124" t="s">
        <v>137</v>
      </c>
      <c r="D6" s="122"/>
      <c r="E6" s="10"/>
      <c r="F6" s="9">
        <f t="shared" si="0"/>
        <v>0</v>
      </c>
      <c r="G6" s="8">
        <f t="shared" si="1"/>
        <v>0</v>
      </c>
      <c r="H6" s="7"/>
      <c r="I6" s="10"/>
      <c r="J6" s="9">
        <f t="shared" si="2"/>
        <v>0</v>
      </c>
      <c r="K6" s="8">
        <f t="shared" si="3"/>
        <v>0</v>
      </c>
      <c r="L6" s="10"/>
      <c r="M6" s="10"/>
      <c r="N6" s="9">
        <f t="shared" si="4"/>
        <v>0</v>
      </c>
      <c r="O6" s="8">
        <f t="shared" si="5"/>
        <v>0</v>
      </c>
      <c r="P6" s="7"/>
      <c r="Q6" s="10"/>
      <c r="R6" s="9">
        <f t="shared" si="6"/>
        <v>0</v>
      </c>
      <c r="S6" s="8">
        <f t="shared" si="7"/>
        <v>0</v>
      </c>
      <c r="T6" s="92"/>
      <c r="U6" s="10"/>
      <c r="V6" s="9">
        <f t="shared" si="8"/>
        <v>0</v>
      </c>
      <c r="W6" s="8">
        <f t="shared" si="9"/>
        <v>0</v>
      </c>
      <c r="X6" s="7"/>
      <c r="Y6" s="10"/>
      <c r="Z6" s="9">
        <f t="shared" si="10"/>
        <v>0</v>
      </c>
      <c r="AA6" s="8">
        <f t="shared" si="11"/>
        <v>0</v>
      </c>
      <c r="AB6" s="7"/>
      <c r="AC6" s="10"/>
      <c r="AD6" s="9">
        <f t="shared" si="12"/>
        <v>0</v>
      </c>
      <c r="AE6" s="8">
        <f t="shared" si="13"/>
        <v>0</v>
      </c>
      <c r="AF6" s="7"/>
      <c r="AG6" s="10"/>
      <c r="AH6" s="9">
        <f t="shared" si="14"/>
        <v>0</v>
      </c>
      <c r="AI6" s="8">
        <f t="shared" si="15"/>
        <v>0</v>
      </c>
      <c r="AJ6" s="7"/>
      <c r="AK6" s="10"/>
      <c r="AL6" s="9">
        <f t="shared" si="16"/>
        <v>0</v>
      </c>
      <c r="AM6" s="8">
        <f t="shared" si="17"/>
        <v>0</v>
      </c>
      <c r="AN6" s="7"/>
      <c r="AO6" s="10"/>
      <c r="AP6" s="9">
        <f t="shared" si="18"/>
        <v>0</v>
      </c>
      <c r="AQ6" s="8">
        <f t="shared" si="19"/>
        <v>0</v>
      </c>
      <c r="AR6" s="7"/>
      <c r="AS6" s="10"/>
      <c r="AT6" s="9">
        <f t="shared" si="20"/>
        <v>0</v>
      </c>
      <c r="AU6" s="8">
        <f t="shared" si="21"/>
        <v>0</v>
      </c>
      <c r="AV6" s="7"/>
      <c r="AW6" s="10"/>
      <c r="AX6" s="9">
        <f t="shared" si="22"/>
        <v>0</v>
      </c>
      <c r="AY6" s="8">
        <f t="shared" si="23"/>
        <v>0</v>
      </c>
      <c r="AZ6" s="7"/>
      <c r="BA6" s="10"/>
      <c r="BB6" s="9">
        <f t="shared" si="24"/>
        <v>0</v>
      </c>
      <c r="BC6" s="8">
        <f t="shared" si="25"/>
        <v>0</v>
      </c>
      <c r="BD6" s="7"/>
      <c r="BE6" s="10"/>
      <c r="BF6" s="9">
        <f t="shared" si="26"/>
        <v>0</v>
      </c>
      <c r="BG6" s="8">
        <f t="shared" si="27"/>
        <v>0</v>
      </c>
      <c r="BH6" s="7"/>
      <c r="BI6" s="10"/>
      <c r="BJ6" s="9">
        <f t="shared" si="28"/>
        <v>0</v>
      </c>
      <c r="BK6" s="8">
        <f t="shared" si="29"/>
        <v>0</v>
      </c>
      <c r="BL6" s="7"/>
      <c r="BM6" s="10"/>
      <c r="BN6" s="9">
        <f t="shared" si="30"/>
        <v>0</v>
      </c>
      <c r="BO6" s="8">
        <f t="shared" si="31"/>
        <v>0</v>
      </c>
      <c r="BP6" s="7"/>
      <c r="BQ6" s="10"/>
      <c r="BR6" s="9">
        <f t="shared" si="32"/>
        <v>0</v>
      </c>
      <c r="BS6" s="8">
        <f t="shared" si="33"/>
        <v>0</v>
      </c>
      <c r="BT6" s="7"/>
      <c r="BU6" s="10"/>
      <c r="BV6" s="9">
        <f t="shared" si="34"/>
        <v>0</v>
      </c>
      <c r="BW6" s="8">
        <f t="shared" si="35"/>
        <v>0</v>
      </c>
      <c r="BX6" s="7"/>
      <c r="BY6" s="10"/>
      <c r="BZ6" s="9">
        <f t="shared" si="36"/>
        <v>0</v>
      </c>
      <c r="CA6" s="8">
        <f t="shared" si="37"/>
        <v>0</v>
      </c>
      <c r="CB6" s="7"/>
      <c r="CC6" s="10"/>
      <c r="CD6" s="9">
        <f t="shared" si="38"/>
        <v>0</v>
      </c>
      <c r="CE6" s="8">
        <f t="shared" si="39"/>
        <v>0</v>
      </c>
      <c r="CF6" s="7"/>
      <c r="CG6" s="10"/>
      <c r="CH6" s="9">
        <f t="shared" si="40"/>
        <v>0</v>
      </c>
      <c r="CI6" s="8">
        <f t="shared" si="41"/>
        <v>0</v>
      </c>
      <c r="CJ6" s="7"/>
      <c r="CK6" s="10"/>
      <c r="CL6" s="9">
        <f t="shared" si="42"/>
        <v>0</v>
      </c>
      <c r="CM6" s="8">
        <f t="shared" si="43"/>
        <v>0</v>
      </c>
      <c r="CN6" s="7"/>
      <c r="CO6" s="10"/>
      <c r="CP6" s="9">
        <f t="shared" si="44"/>
        <v>0</v>
      </c>
      <c r="CQ6" s="8">
        <f t="shared" si="45"/>
        <v>0</v>
      </c>
      <c r="CR6" s="7"/>
      <c r="CS6" s="10"/>
      <c r="CT6" s="9">
        <f t="shared" si="46"/>
        <v>0</v>
      </c>
      <c r="CU6" s="8">
        <f t="shared" si="47"/>
        <v>0</v>
      </c>
      <c r="CV6" s="7"/>
      <c r="CW6" s="10"/>
      <c r="CX6" s="9">
        <f t="shared" si="48"/>
        <v>0</v>
      </c>
      <c r="CY6" s="8">
        <f t="shared" si="49"/>
        <v>0</v>
      </c>
      <c r="CZ6" s="7"/>
      <c r="DA6" s="10"/>
      <c r="DB6" s="9">
        <f t="shared" si="50"/>
        <v>0</v>
      </c>
      <c r="DC6" s="8">
        <f t="shared" si="51"/>
        <v>0</v>
      </c>
      <c r="DD6" s="7"/>
      <c r="DE6" s="10"/>
      <c r="DF6" s="9">
        <f t="shared" si="52"/>
        <v>0</v>
      </c>
      <c r="DG6" s="8">
        <f t="shared" si="53"/>
        <v>0</v>
      </c>
      <c r="DH6" s="7"/>
      <c r="DI6" s="10"/>
      <c r="DJ6" s="9">
        <f t="shared" si="54"/>
        <v>0</v>
      </c>
      <c r="DK6" s="8">
        <f t="shared" si="55"/>
        <v>0</v>
      </c>
    </row>
    <row r="7" spans="1:115" ht="16" customHeight="1" thickBot="1">
      <c r="A7" s="134" t="s">
        <v>50</v>
      </c>
      <c r="B7" s="133" t="s">
        <v>137</v>
      </c>
      <c r="C7" s="124" t="s">
        <v>137</v>
      </c>
      <c r="D7" s="122"/>
      <c r="E7" s="10"/>
      <c r="F7" s="9">
        <f t="shared" si="0"/>
        <v>0</v>
      </c>
      <c r="G7" s="8">
        <f t="shared" si="1"/>
        <v>0</v>
      </c>
      <c r="H7" s="7"/>
      <c r="I7" s="10"/>
      <c r="J7" s="9">
        <f t="shared" si="2"/>
        <v>0</v>
      </c>
      <c r="K7" s="8">
        <f t="shared" si="3"/>
        <v>0</v>
      </c>
      <c r="L7" s="10"/>
      <c r="M7" s="10"/>
      <c r="N7" s="9">
        <f t="shared" si="4"/>
        <v>0</v>
      </c>
      <c r="O7" s="8">
        <f t="shared" si="5"/>
        <v>0</v>
      </c>
      <c r="P7" s="7"/>
      <c r="Q7" s="10"/>
      <c r="R7" s="9">
        <f t="shared" si="6"/>
        <v>0</v>
      </c>
      <c r="S7" s="8">
        <f t="shared" si="7"/>
        <v>0</v>
      </c>
      <c r="T7" s="7"/>
      <c r="U7" s="10"/>
      <c r="V7" s="9">
        <f t="shared" si="8"/>
        <v>0</v>
      </c>
      <c r="W7" s="8">
        <f t="shared" si="9"/>
        <v>0</v>
      </c>
      <c r="X7" s="7"/>
      <c r="Y7" s="10"/>
      <c r="Z7" s="9">
        <f t="shared" si="10"/>
        <v>0</v>
      </c>
      <c r="AA7" s="8">
        <f t="shared" si="11"/>
        <v>0</v>
      </c>
      <c r="AB7" s="7"/>
      <c r="AC7" s="10"/>
      <c r="AD7" s="9">
        <f t="shared" si="12"/>
        <v>0</v>
      </c>
      <c r="AE7" s="8">
        <f t="shared" si="13"/>
        <v>0</v>
      </c>
      <c r="AF7" s="7"/>
      <c r="AG7" s="10"/>
      <c r="AH7" s="9">
        <f t="shared" si="14"/>
        <v>0</v>
      </c>
      <c r="AI7" s="8">
        <f t="shared" si="15"/>
        <v>0</v>
      </c>
      <c r="AJ7" s="7"/>
      <c r="AK7" s="10"/>
      <c r="AL7" s="9">
        <f t="shared" si="16"/>
        <v>0</v>
      </c>
      <c r="AM7" s="8">
        <f t="shared" si="17"/>
        <v>0</v>
      </c>
      <c r="AN7" s="7"/>
      <c r="AO7" s="10"/>
      <c r="AP7" s="9">
        <f t="shared" si="18"/>
        <v>0</v>
      </c>
      <c r="AQ7" s="8">
        <f t="shared" si="19"/>
        <v>0</v>
      </c>
      <c r="AR7" s="7"/>
      <c r="AS7" s="10"/>
      <c r="AT7" s="9">
        <f t="shared" si="20"/>
        <v>0</v>
      </c>
      <c r="AU7" s="8">
        <f t="shared" si="21"/>
        <v>0</v>
      </c>
      <c r="AV7" s="7"/>
      <c r="AW7" s="10"/>
      <c r="AX7" s="9">
        <f t="shared" si="22"/>
        <v>0</v>
      </c>
      <c r="AY7" s="8">
        <f t="shared" si="23"/>
        <v>0</v>
      </c>
      <c r="AZ7" s="7"/>
      <c r="BA7" s="10"/>
      <c r="BB7" s="9">
        <f t="shared" si="24"/>
        <v>0</v>
      </c>
      <c r="BC7" s="8">
        <f t="shared" si="25"/>
        <v>0</v>
      </c>
      <c r="BD7" s="7"/>
      <c r="BE7" s="10"/>
      <c r="BF7" s="9">
        <f t="shared" si="26"/>
        <v>0</v>
      </c>
      <c r="BG7" s="8">
        <f t="shared" si="27"/>
        <v>0</v>
      </c>
      <c r="BH7" s="7"/>
      <c r="BI7" s="10"/>
      <c r="BJ7" s="9">
        <f t="shared" si="28"/>
        <v>0</v>
      </c>
      <c r="BK7" s="8">
        <f t="shared" si="29"/>
        <v>0</v>
      </c>
      <c r="BL7" s="7"/>
      <c r="BM7" s="10"/>
      <c r="BN7" s="9">
        <f t="shared" si="30"/>
        <v>0</v>
      </c>
      <c r="BO7" s="8">
        <f t="shared" si="31"/>
        <v>0</v>
      </c>
      <c r="BP7" s="7"/>
      <c r="BQ7" s="10"/>
      <c r="BR7" s="9">
        <f t="shared" si="32"/>
        <v>0</v>
      </c>
      <c r="BS7" s="8">
        <f t="shared" si="33"/>
        <v>0</v>
      </c>
      <c r="BT7" s="7"/>
      <c r="BU7" s="10"/>
      <c r="BV7" s="9">
        <f t="shared" si="34"/>
        <v>0</v>
      </c>
      <c r="BW7" s="8">
        <f t="shared" si="35"/>
        <v>0</v>
      </c>
      <c r="BX7" s="7"/>
      <c r="BY7" s="10"/>
      <c r="BZ7" s="9">
        <f t="shared" si="36"/>
        <v>0</v>
      </c>
      <c r="CA7" s="8">
        <f t="shared" si="37"/>
        <v>0</v>
      </c>
      <c r="CB7" s="114"/>
      <c r="CC7" s="10"/>
      <c r="CD7" s="9">
        <f t="shared" si="38"/>
        <v>0</v>
      </c>
      <c r="CE7" s="8">
        <f t="shared" si="39"/>
        <v>0</v>
      </c>
      <c r="CF7" s="7"/>
      <c r="CG7" s="10"/>
      <c r="CH7" s="9">
        <f t="shared" si="40"/>
        <v>0</v>
      </c>
      <c r="CI7" s="8">
        <f t="shared" si="41"/>
        <v>0</v>
      </c>
      <c r="CJ7" s="7"/>
      <c r="CK7" s="10"/>
      <c r="CL7" s="9">
        <f t="shared" si="42"/>
        <v>0</v>
      </c>
      <c r="CM7" s="8">
        <f t="shared" si="43"/>
        <v>0</v>
      </c>
      <c r="CN7" s="7"/>
      <c r="CO7" s="10"/>
      <c r="CP7" s="9">
        <f t="shared" si="44"/>
        <v>0</v>
      </c>
      <c r="CQ7" s="8">
        <f t="shared" si="45"/>
        <v>0</v>
      </c>
      <c r="CR7" s="7"/>
      <c r="CS7" s="10"/>
      <c r="CT7" s="9">
        <f t="shared" si="46"/>
        <v>0</v>
      </c>
      <c r="CU7" s="8">
        <f t="shared" si="47"/>
        <v>0</v>
      </c>
      <c r="CV7" s="7"/>
      <c r="CW7" s="10"/>
      <c r="CX7" s="9">
        <f t="shared" si="48"/>
        <v>0</v>
      </c>
      <c r="CY7" s="8">
        <f t="shared" si="49"/>
        <v>0</v>
      </c>
      <c r="CZ7" s="7"/>
      <c r="DA7" s="10"/>
      <c r="DB7" s="9">
        <f t="shared" si="50"/>
        <v>0</v>
      </c>
      <c r="DC7" s="8">
        <f t="shared" si="51"/>
        <v>0</v>
      </c>
      <c r="DD7" s="7"/>
      <c r="DE7" s="10"/>
      <c r="DF7" s="9">
        <f t="shared" si="52"/>
        <v>0</v>
      </c>
      <c r="DG7" s="8">
        <f t="shared" si="53"/>
        <v>0</v>
      </c>
      <c r="DH7" s="7"/>
      <c r="DI7" s="10"/>
      <c r="DJ7" s="9">
        <f t="shared" si="54"/>
        <v>0</v>
      </c>
      <c r="DK7" s="8">
        <f t="shared" si="55"/>
        <v>0</v>
      </c>
    </row>
    <row r="8" spans="1:115" ht="16" customHeight="1" thickBot="1">
      <c r="A8" s="134" t="s">
        <v>51</v>
      </c>
      <c r="B8" s="133" t="s">
        <v>137</v>
      </c>
      <c r="C8" s="124" t="s">
        <v>137</v>
      </c>
      <c r="D8" s="122"/>
      <c r="E8" s="10"/>
      <c r="F8" s="9">
        <f t="shared" si="0"/>
        <v>0</v>
      </c>
      <c r="G8" s="8">
        <f t="shared" si="1"/>
        <v>0</v>
      </c>
      <c r="H8" s="7"/>
      <c r="I8" s="10"/>
      <c r="J8" s="9">
        <f t="shared" si="2"/>
        <v>0</v>
      </c>
      <c r="K8" s="8">
        <f t="shared" si="3"/>
        <v>0</v>
      </c>
      <c r="L8" s="7"/>
      <c r="M8" s="10"/>
      <c r="N8" s="9">
        <f t="shared" si="4"/>
        <v>0</v>
      </c>
      <c r="O8" s="8">
        <f t="shared" si="5"/>
        <v>0</v>
      </c>
      <c r="P8" s="7"/>
      <c r="Q8" s="10"/>
      <c r="R8" s="9">
        <f t="shared" si="6"/>
        <v>0</v>
      </c>
      <c r="S8" s="8">
        <f t="shared" si="7"/>
        <v>0</v>
      </c>
      <c r="T8" s="7"/>
      <c r="U8" s="10"/>
      <c r="V8" s="9">
        <f t="shared" si="8"/>
        <v>0</v>
      </c>
      <c r="W8" s="8">
        <f t="shared" si="9"/>
        <v>0</v>
      </c>
      <c r="X8" s="7"/>
      <c r="Y8" s="10"/>
      <c r="Z8" s="9">
        <f t="shared" si="10"/>
        <v>0</v>
      </c>
      <c r="AA8" s="8">
        <f t="shared" si="11"/>
        <v>0</v>
      </c>
      <c r="AB8" s="7"/>
      <c r="AC8" s="10"/>
      <c r="AD8" s="9">
        <f t="shared" si="12"/>
        <v>0</v>
      </c>
      <c r="AE8" s="8">
        <f t="shared" si="13"/>
        <v>0</v>
      </c>
      <c r="AF8" s="7"/>
      <c r="AG8" s="10"/>
      <c r="AH8" s="9">
        <f t="shared" si="14"/>
        <v>0</v>
      </c>
      <c r="AI8" s="8">
        <f t="shared" si="15"/>
        <v>0</v>
      </c>
      <c r="AJ8" s="7"/>
      <c r="AK8" s="10"/>
      <c r="AL8" s="9">
        <f t="shared" si="16"/>
        <v>0</v>
      </c>
      <c r="AM8" s="8">
        <f t="shared" si="17"/>
        <v>0</v>
      </c>
      <c r="AN8" s="7"/>
      <c r="AO8" s="10"/>
      <c r="AP8" s="9">
        <f t="shared" si="18"/>
        <v>0</v>
      </c>
      <c r="AQ8" s="8">
        <f t="shared" si="19"/>
        <v>0</v>
      </c>
      <c r="AR8" s="7"/>
      <c r="AS8" s="10"/>
      <c r="AT8" s="9">
        <f t="shared" si="20"/>
        <v>0</v>
      </c>
      <c r="AU8" s="8">
        <f t="shared" si="21"/>
        <v>0</v>
      </c>
      <c r="AV8" s="7"/>
      <c r="AW8" s="10"/>
      <c r="AX8" s="9">
        <f t="shared" si="22"/>
        <v>0</v>
      </c>
      <c r="AY8" s="8">
        <f t="shared" si="23"/>
        <v>0</v>
      </c>
      <c r="AZ8" s="7"/>
      <c r="BA8" s="10"/>
      <c r="BB8" s="9">
        <f t="shared" si="24"/>
        <v>0</v>
      </c>
      <c r="BC8" s="8">
        <f t="shared" si="25"/>
        <v>0</v>
      </c>
      <c r="BD8" s="7"/>
      <c r="BE8" s="10"/>
      <c r="BF8" s="9">
        <f t="shared" si="26"/>
        <v>0</v>
      </c>
      <c r="BG8" s="8">
        <f t="shared" si="27"/>
        <v>0</v>
      </c>
      <c r="BH8" s="7"/>
      <c r="BI8" s="10"/>
      <c r="BJ8" s="9">
        <f t="shared" si="28"/>
        <v>0</v>
      </c>
      <c r="BK8" s="8">
        <f t="shared" si="29"/>
        <v>0</v>
      </c>
      <c r="BL8" s="7"/>
      <c r="BM8" s="10"/>
      <c r="BN8" s="9">
        <f t="shared" si="30"/>
        <v>0</v>
      </c>
      <c r="BO8" s="8">
        <f t="shared" si="31"/>
        <v>0</v>
      </c>
      <c r="BP8" s="7"/>
      <c r="BQ8" s="10"/>
      <c r="BR8" s="9">
        <f t="shared" si="32"/>
        <v>0</v>
      </c>
      <c r="BS8" s="8">
        <f t="shared" si="33"/>
        <v>0</v>
      </c>
      <c r="BT8" s="7"/>
      <c r="BU8" s="10"/>
      <c r="BV8" s="9">
        <f t="shared" si="34"/>
        <v>0</v>
      </c>
      <c r="BW8" s="8">
        <f t="shared" si="35"/>
        <v>0</v>
      </c>
      <c r="BX8" s="7"/>
      <c r="BY8" s="10"/>
      <c r="BZ8" s="9">
        <f t="shared" si="36"/>
        <v>0</v>
      </c>
      <c r="CA8" s="8">
        <f t="shared" si="37"/>
        <v>0</v>
      </c>
      <c r="CB8" s="114"/>
      <c r="CC8" s="10"/>
      <c r="CD8" s="9">
        <f t="shared" si="38"/>
        <v>0</v>
      </c>
      <c r="CE8" s="8">
        <f t="shared" si="39"/>
        <v>0</v>
      </c>
      <c r="CF8" s="7"/>
      <c r="CG8" s="10"/>
      <c r="CH8" s="9">
        <f t="shared" si="40"/>
        <v>0</v>
      </c>
      <c r="CI8" s="8">
        <f t="shared" si="41"/>
        <v>0</v>
      </c>
      <c r="CJ8" s="7"/>
      <c r="CK8" s="10"/>
      <c r="CL8" s="9">
        <f t="shared" si="42"/>
        <v>0</v>
      </c>
      <c r="CM8" s="8">
        <f t="shared" si="43"/>
        <v>0</v>
      </c>
      <c r="CN8" s="7"/>
      <c r="CO8" s="10"/>
      <c r="CP8" s="9">
        <f t="shared" si="44"/>
        <v>0</v>
      </c>
      <c r="CQ8" s="8">
        <f t="shared" si="45"/>
        <v>0</v>
      </c>
      <c r="CR8" s="7"/>
      <c r="CS8" s="10"/>
      <c r="CT8" s="9">
        <f t="shared" si="46"/>
        <v>0</v>
      </c>
      <c r="CU8" s="8">
        <f t="shared" si="47"/>
        <v>0</v>
      </c>
      <c r="CV8" s="7"/>
      <c r="CW8" s="10"/>
      <c r="CX8" s="9">
        <f t="shared" si="48"/>
        <v>0</v>
      </c>
      <c r="CY8" s="8">
        <f t="shared" si="49"/>
        <v>0</v>
      </c>
      <c r="CZ8" s="7"/>
      <c r="DA8" s="10"/>
      <c r="DB8" s="9">
        <f t="shared" si="50"/>
        <v>0</v>
      </c>
      <c r="DC8" s="8">
        <f t="shared" si="51"/>
        <v>0</v>
      </c>
      <c r="DD8" s="7"/>
      <c r="DE8" s="10"/>
      <c r="DF8" s="9">
        <f t="shared" si="52"/>
        <v>0</v>
      </c>
      <c r="DG8" s="8">
        <f t="shared" si="53"/>
        <v>0</v>
      </c>
      <c r="DH8" s="7"/>
      <c r="DI8" s="10"/>
      <c r="DJ8" s="9">
        <f t="shared" si="54"/>
        <v>0</v>
      </c>
      <c r="DK8" s="8">
        <f t="shared" si="55"/>
        <v>0</v>
      </c>
    </row>
    <row r="9" spans="1:115" ht="16" customHeight="1" thickBot="1">
      <c r="A9" s="134" t="s">
        <v>52</v>
      </c>
      <c r="B9" s="133" t="s">
        <v>137</v>
      </c>
      <c r="C9" s="124" t="s">
        <v>137</v>
      </c>
      <c r="D9" s="122"/>
      <c r="E9" s="10"/>
      <c r="F9" s="9">
        <f t="shared" si="0"/>
        <v>0</v>
      </c>
      <c r="G9" s="8">
        <f t="shared" si="1"/>
        <v>0</v>
      </c>
      <c r="H9" s="7"/>
      <c r="I9" s="10"/>
      <c r="J9" s="9">
        <f t="shared" si="2"/>
        <v>0</v>
      </c>
      <c r="K9" s="8">
        <f t="shared" si="3"/>
        <v>0</v>
      </c>
      <c r="L9" s="10"/>
      <c r="M9" s="10"/>
      <c r="N9" s="9">
        <f t="shared" si="4"/>
        <v>0</v>
      </c>
      <c r="O9" s="8">
        <f t="shared" si="5"/>
        <v>0</v>
      </c>
      <c r="P9" s="7"/>
      <c r="Q9" s="10"/>
      <c r="R9" s="9">
        <f t="shared" si="6"/>
        <v>0</v>
      </c>
      <c r="S9" s="8">
        <f t="shared" si="7"/>
        <v>0</v>
      </c>
      <c r="T9" s="7"/>
      <c r="U9" s="10"/>
      <c r="V9" s="9">
        <f t="shared" si="8"/>
        <v>0</v>
      </c>
      <c r="W9" s="8">
        <f t="shared" si="9"/>
        <v>0</v>
      </c>
      <c r="X9" s="7"/>
      <c r="Y9" s="10"/>
      <c r="Z9" s="9">
        <f t="shared" si="10"/>
        <v>0</v>
      </c>
      <c r="AA9" s="8">
        <f t="shared" si="11"/>
        <v>0</v>
      </c>
      <c r="AB9" s="7"/>
      <c r="AC9" s="10"/>
      <c r="AD9" s="9">
        <f t="shared" si="12"/>
        <v>0</v>
      </c>
      <c r="AE9" s="8">
        <f t="shared" si="13"/>
        <v>0</v>
      </c>
      <c r="AF9" s="7"/>
      <c r="AG9" s="10"/>
      <c r="AH9" s="9">
        <f t="shared" si="14"/>
        <v>0</v>
      </c>
      <c r="AI9" s="8">
        <f t="shared" si="15"/>
        <v>0</v>
      </c>
      <c r="AJ9" s="7"/>
      <c r="AK9" s="10"/>
      <c r="AL9" s="9">
        <f t="shared" si="16"/>
        <v>0</v>
      </c>
      <c r="AM9" s="8">
        <f t="shared" si="17"/>
        <v>0</v>
      </c>
      <c r="AN9" s="7"/>
      <c r="AO9" s="10"/>
      <c r="AP9" s="9">
        <f t="shared" si="18"/>
        <v>0</v>
      </c>
      <c r="AQ9" s="8">
        <f t="shared" si="19"/>
        <v>0</v>
      </c>
      <c r="AR9" s="7"/>
      <c r="AS9" s="10"/>
      <c r="AT9" s="9">
        <f t="shared" si="20"/>
        <v>0</v>
      </c>
      <c r="AU9" s="8">
        <f t="shared" si="21"/>
        <v>0</v>
      </c>
      <c r="AV9" s="7"/>
      <c r="AW9" s="10"/>
      <c r="AX9" s="9">
        <f t="shared" si="22"/>
        <v>0</v>
      </c>
      <c r="AY9" s="8">
        <f t="shared" si="23"/>
        <v>0</v>
      </c>
      <c r="AZ9" s="7"/>
      <c r="BA9" s="10"/>
      <c r="BB9" s="9">
        <f t="shared" si="24"/>
        <v>0</v>
      </c>
      <c r="BC9" s="8">
        <f t="shared" si="25"/>
        <v>0</v>
      </c>
      <c r="BD9" s="7"/>
      <c r="BE9" s="10"/>
      <c r="BF9" s="9">
        <f t="shared" si="26"/>
        <v>0</v>
      </c>
      <c r="BG9" s="8">
        <f t="shared" si="27"/>
        <v>0</v>
      </c>
      <c r="BH9" s="7"/>
      <c r="BI9" s="10"/>
      <c r="BJ9" s="9">
        <f t="shared" si="28"/>
        <v>0</v>
      </c>
      <c r="BK9" s="8">
        <f t="shared" si="29"/>
        <v>0</v>
      </c>
      <c r="BL9" s="7"/>
      <c r="BM9" s="10"/>
      <c r="BN9" s="9">
        <f t="shared" si="30"/>
        <v>0</v>
      </c>
      <c r="BO9" s="8">
        <f t="shared" si="31"/>
        <v>0</v>
      </c>
      <c r="BP9" s="7"/>
      <c r="BQ9" s="10"/>
      <c r="BR9" s="9">
        <f t="shared" si="32"/>
        <v>0</v>
      </c>
      <c r="BS9" s="8">
        <f t="shared" si="33"/>
        <v>0</v>
      </c>
      <c r="BT9" s="7"/>
      <c r="BU9" s="10"/>
      <c r="BV9" s="9">
        <f t="shared" si="34"/>
        <v>0</v>
      </c>
      <c r="BW9" s="8">
        <f t="shared" si="35"/>
        <v>0</v>
      </c>
      <c r="BX9" s="7"/>
      <c r="BY9" s="10"/>
      <c r="BZ9" s="9">
        <f t="shared" si="36"/>
        <v>0</v>
      </c>
      <c r="CA9" s="8">
        <f t="shared" si="37"/>
        <v>0</v>
      </c>
      <c r="CB9" s="7"/>
      <c r="CC9" s="10"/>
      <c r="CD9" s="9">
        <f t="shared" si="38"/>
        <v>0</v>
      </c>
      <c r="CE9" s="8">
        <f t="shared" si="39"/>
        <v>0</v>
      </c>
      <c r="CF9" s="7"/>
      <c r="CG9" s="10"/>
      <c r="CH9" s="9">
        <f t="shared" si="40"/>
        <v>0</v>
      </c>
      <c r="CI9" s="8">
        <f t="shared" si="41"/>
        <v>0</v>
      </c>
      <c r="CJ9" s="7"/>
      <c r="CK9" s="10"/>
      <c r="CL9" s="9">
        <f t="shared" si="42"/>
        <v>0</v>
      </c>
      <c r="CM9" s="8">
        <f t="shared" si="43"/>
        <v>0</v>
      </c>
      <c r="CN9" s="7"/>
      <c r="CO9" s="10"/>
      <c r="CP9" s="9">
        <f t="shared" si="44"/>
        <v>0</v>
      </c>
      <c r="CQ9" s="8">
        <f t="shared" si="45"/>
        <v>0</v>
      </c>
      <c r="CR9" s="7"/>
      <c r="CS9" s="10"/>
      <c r="CT9" s="9">
        <f t="shared" si="46"/>
        <v>0</v>
      </c>
      <c r="CU9" s="8">
        <f t="shared" si="47"/>
        <v>0</v>
      </c>
      <c r="CV9" s="7"/>
      <c r="CW9" s="10"/>
      <c r="CX9" s="9">
        <f t="shared" si="48"/>
        <v>0</v>
      </c>
      <c r="CY9" s="8">
        <f t="shared" si="49"/>
        <v>0</v>
      </c>
      <c r="CZ9" s="7"/>
      <c r="DA9" s="10"/>
      <c r="DB9" s="9">
        <f t="shared" si="50"/>
        <v>0</v>
      </c>
      <c r="DC9" s="8">
        <f t="shared" si="51"/>
        <v>0</v>
      </c>
      <c r="DD9" s="7"/>
      <c r="DE9" s="10"/>
      <c r="DF9" s="9">
        <f t="shared" si="52"/>
        <v>0</v>
      </c>
      <c r="DG9" s="8">
        <f t="shared" si="53"/>
        <v>0</v>
      </c>
      <c r="DH9" s="7"/>
      <c r="DI9" s="10"/>
      <c r="DJ9" s="9">
        <f t="shared" si="54"/>
        <v>0</v>
      </c>
      <c r="DK9" s="8">
        <f t="shared" si="55"/>
        <v>0</v>
      </c>
    </row>
    <row r="10" spans="1:115" ht="16" customHeight="1" thickBot="1">
      <c r="A10" s="134" t="s">
        <v>53</v>
      </c>
      <c r="B10" s="133" t="s">
        <v>137</v>
      </c>
      <c r="C10" s="124" t="s">
        <v>137</v>
      </c>
      <c r="D10" s="122"/>
      <c r="E10" s="10"/>
      <c r="F10" s="9">
        <f t="shared" si="0"/>
        <v>0</v>
      </c>
      <c r="G10" s="8">
        <f t="shared" si="1"/>
        <v>0</v>
      </c>
      <c r="H10" s="7"/>
      <c r="I10" s="10"/>
      <c r="J10" s="9">
        <f t="shared" si="2"/>
        <v>0</v>
      </c>
      <c r="K10" s="8">
        <f t="shared" si="3"/>
        <v>0</v>
      </c>
      <c r="L10" s="10"/>
      <c r="M10" s="10"/>
      <c r="N10" s="9">
        <f t="shared" si="4"/>
        <v>0</v>
      </c>
      <c r="O10" s="8">
        <f t="shared" si="5"/>
        <v>0</v>
      </c>
      <c r="P10" s="92"/>
      <c r="Q10" s="10"/>
      <c r="R10" s="9">
        <f t="shared" si="6"/>
        <v>0</v>
      </c>
      <c r="S10" s="8">
        <f t="shared" si="7"/>
        <v>0</v>
      </c>
      <c r="T10" s="92"/>
      <c r="U10" s="10"/>
      <c r="V10" s="9">
        <f t="shared" si="8"/>
        <v>0</v>
      </c>
      <c r="W10" s="8">
        <f t="shared" si="9"/>
        <v>0</v>
      </c>
      <c r="X10" s="7"/>
      <c r="Y10" s="10"/>
      <c r="Z10" s="9">
        <f t="shared" si="10"/>
        <v>0</v>
      </c>
      <c r="AA10" s="8">
        <f t="shared" si="11"/>
        <v>0</v>
      </c>
      <c r="AB10" s="7"/>
      <c r="AC10" s="10"/>
      <c r="AD10" s="9">
        <f t="shared" si="12"/>
        <v>0</v>
      </c>
      <c r="AE10" s="8">
        <f t="shared" si="13"/>
        <v>0</v>
      </c>
      <c r="AF10" s="7"/>
      <c r="AG10" s="10"/>
      <c r="AH10" s="9">
        <f t="shared" si="14"/>
        <v>0</v>
      </c>
      <c r="AI10" s="8">
        <f t="shared" si="15"/>
        <v>0</v>
      </c>
      <c r="AJ10" s="7"/>
      <c r="AK10" s="10"/>
      <c r="AL10" s="9">
        <f t="shared" si="16"/>
        <v>0</v>
      </c>
      <c r="AM10" s="8">
        <f t="shared" si="17"/>
        <v>0</v>
      </c>
      <c r="AN10" s="7"/>
      <c r="AO10" s="10"/>
      <c r="AP10" s="9">
        <f t="shared" si="18"/>
        <v>0</v>
      </c>
      <c r="AQ10" s="8">
        <f t="shared" si="19"/>
        <v>0</v>
      </c>
      <c r="AR10" s="7"/>
      <c r="AS10" s="10"/>
      <c r="AT10" s="9">
        <f t="shared" si="20"/>
        <v>0</v>
      </c>
      <c r="AU10" s="8">
        <f t="shared" si="21"/>
        <v>0</v>
      </c>
      <c r="AV10" s="7"/>
      <c r="AW10" s="10"/>
      <c r="AX10" s="9">
        <f t="shared" si="22"/>
        <v>0</v>
      </c>
      <c r="AY10" s="8">
        <f t="shared" si="23"/>
        <v>0</v>
      </c>
      <c r="AZ10" s="7"/>
      <c r="BA10" s="10"/>
      <c r="BB10" s="9">
        <f t="shared" si="24"/>
        <v>0</v>
      </c>
      <c r="BC10" s="8">
        <f t="shared" si="25"/>
        <v>0</v>
      </c>
      <c r="BD10" s="7"/>
      <c r="BE10" s="10"/>
      <c r="BF10" s="9">
        <f t="shared" si="26"/>
        <v>0</v>
      </c>
      <c r="BG10" s="8">
        <f t="shared" si="27"/>
        <v>0</v>
      </c>
      <c r="BH10" s="7"/>
      <c r="BI10" s="10"/>
      <c r="BJ10" s="9">
        <f t="shared" si="28"/>
        <v>0</v>
      </c>
      <c r="BK10" s="8">
        <f t="shared" si="29"/>
        <v>0</v>
      </c>
      <c r="BL10" s="92"/>
      <c r="BM10" s="10"/>
      <c r="BN10" s="9">
        <f t="shared" si="30"/>
        <v>0</v>
      </c>
      <c r="BO10" s="8">
        <f t="shared" si="31"/>
        <v>0</v>
      </c>
      <c r="BP10" s="7"/>
      <c r="BQ10" s="10"/>
      <c r="BR10" s="9">
        <f t="shared" si="32"/>
        <v>0</v>
      </c>
      <c r="BS10" s="8">
        <f t="shared" si="33"/>
        <v>0</v>
      </c>
      <c r="BT10" s="7"/>
      <c r="BU10" s="10"/>
      <c r="BV10" s="9">
        <f t="shared" si="34"/>
        <v>0</v>
      </c>
      <c r="BW10" s="8">
        <f t="shared" si="35"/>
        <v>0</v>
      </c>
      <c r="BX10" s="7"/>
      <c r="BY10" s="10"/>
      <c r="BZ10" s="9">
        <f t="shared" si="36"/>
        <v>0</v>
      </c>
      <c r="CA10" s="8">
        <f t="shared" si="37"/>
        <v>0</v>
      </c>
      <c r="CB10" s="114"/>
      <c r="CC10" s="10"/>
      <c r="CD10" s="9">
        <f t="shared" si="38"/>
        <v>0</v>
      </c>
      <c r="CE10" s="8">
        <f t="shared" si="39"/>
        <v>0</v>
      </c>
      <c r="CF10" s="7"/>
      <c r="CG10" s="10"/>
      <c r="CH10" s="9">
        <f t="shared" si="40"/>
        <v>0</v>
      </c>
      <c r="CI10" s="8">
        <f t="shared" si="41"/>
        <v>0</v>
      </c>
      <c r="CJ10" s="7"/>
      <c r="CK10" s="10"/>
      <c r="CL10" s="9">
        <f t="shared" si="42"/>
        <v>0</v>
      </c>
      <c r="CM10" s="8">
        <f t="shared" si="43"/>
        <v>0</v>
      </c>
      <c r="CN10" s="7"/>
      <c r="CO10" s="10"/>
      <c r="CP10" s="9">
        <f t="shared" si="44"/>
        <v>0</v>
      </c>
      <c r="CQ10" s="8">
        <f t="shared" si="45"/>
        <v>0</v>
      </c>
      <c r="CR10" s="7"/>
      <c r="CS10" s="10"/>
      <c r="CT10" s="9">
        <f t="shared" si="46"/>
        <v>0</v>
      </c>
      <c r="CU10" s="8">
        <f t="shared" si="47"/>
        <v>0</v>
      </c>
      <c r="CV10" s="7"/>
      <c r="CW10" s="10"/>
      <c r="CX10" s="9">
        <f t="shared" si="48"/>
        <v>0</v>
      </c>
      <c r="CY10" s="8">
        <f t="shared" si="49"/>
        <v>0</v>
      </c>
      <c r="CZ10" s="7"/>
      <c r="DA10" s="10"/>
      <c r="DB10" s="9">
        <f t="shared" si="50"/>
        <v>0</v>
      </c>
      <c r="DC10" s="8">
        <f t="shared" si="51"/>
        <v>0</v>
      </c>
      <c r="DD10" s="7"/>
      <c r="DE10" s="10"/>
      <c r="DF10" s="9">
        <f t="shared" si="52"/>
        <v>0</v>
      </c>
      <c r="DG10" s="8">
        <f t="shared" si="53"/>
        <v>0</v>
      </c>
      <c r="DH10" s="7"/>
      <c r="DI10" s="10"/>
      <c r="DJ10" s="9">
        <f t="shared" si="54"/>
        <v>0</v>
      </c>
      <c r="DK10" s="8">
        <f t="shared" si="55"/>
        <v>0</v>
      </c>
    </row>
    <row r="11" spans="1:115" ht="16" customHeight="1" thickBot="1">
      <c r="A11" s="134" t="s">
        <v>54</v>
      </c>
      <c r="B11" s="133" t="s">
        <v>137</v>
      </c>
      <c r="C11" s="124" t="s">
        <v>137</v>
      </c>
      <c r="D11" s="122"/>
      <c r="E11" s="10"/>
      <c r="F11" s="9">
        <f t="shared" si="0"/>
        <v>0</v>
      </c>
      <c r="G11" s="8">
        <f t="shared" si="1"/>
        <v>0</v>
      </c>
      <c r="H11" s="7"/>
      <c r="I11" s="10"/>
      <c r="J11" s="9">
        <f t="shared" si="2"/>
        <v>0</v>
      </c>
      <c r="K11" s="8">
        <f t="shared" si="3"/>
        <v>0</v>
      </c>
      <c r="L11" s="7"/>
      <c r="M11" s="10"/>
      <c r="N11" s="9">
        <f t="shared" si="4"/>
        <v>0</v>
      </c>
      <c r="O11" s="8">
        <f t="shared" si="5"/>
        <v>0</v>
      </c>
      <c r="P11" s="7"/>
      <c r="Q11" s="10"/>
      <c r="R11" s="9">
        <f t="shared" si="6"/>
        <v>0</v>
      </c>
      <c r="S11" s="8">
        <f t="shared" si="7"/>
        <v>0</v>
      </c>
      <c r="T11" s="7"/>
      <c r="U11" s="10"/>
      <c r="V11" s="9">
        <f t="shared" si="8"/>
        <v>0</v>
      </c>
      <c r="W11" s="8">
        <f t="shared" si="9"/>
        <v>0</v>
      </c>
      <c r="X11" s="7"/>
      <c r="Y11" s="10"/>
      <c r="Z11" s="9">
        <f t="shared" si="10"/>
        <v>0</v>
      </c>
      <c r="AA11" s="8">
        <f t="shared" si="11"/>
        <v>0</v>
      </c>
      <c r="AB11" s="7"/>
      <c r="AC11" s="10"/>
      <c r="AD11" s="9">
        <f t="shared" si="12"/>
        <v>0</v>
      </c>
      <c r="AE11" s="8">
        <f t="shared" si="13"/>
        <v>0</v>
      </c>
      <c r="AF11" s="7"/>
      <c r="AG11" s="10"/>
      <c r="AH11" s="9">
        <f t="shared" si="14"/>
        <v>0</v>
      </c>
      <c r="AI11" s="8">
        <f t="shared" si="15"/>
        <v>0</v>
      </c>
      <c r="AJ11" s="7"/>
      <c r="AK11" s="10"/>
      <c r="AL11" s="9">
        <f t="shared" si="16"/>
        <v>0</v>
      </c>
      <c r="AM11" s="8">
        <f t="shared" si="17"/>
        <v>0</v>
      </c>
      <c r="AN11" s="7"/>
      <c r="AO11" s="10"/>
      <c r="AP11" s="9">
        <f t="shared" si="18"/>
        <v>0</v>
      </c>
      <c r="AQ11" s="8">
        <f t="shared" si="19"/>
        <v>0</v>
      </c>
      <c r="AR11" s="7"/>
      <c r="AS11" s="10"/>
      <c r="AT11" s="9">
        <f t="shared" si="20"/>
        <v>0</v>
      </c>
      <c r="AU11" s="8">
        <f t="shared" si="21"/>
        <v>0</v>
      </c>
      <c r="AV11" s="7"/>
      <c r="AW11" s="10"/>
      <c r="AX11" s="9">
        <f t="shared" si="22"/>
        <v>0</v>
      </c>
      <c r="AY11" s="8">
        <f t="shared" si="23"/>
        <v>0</v>
      </c>
      <c r="AZ11" s="7"/>
      <c r="BA11" s="10"/>
      <c r="BB11" s="9">
        <f t="shared" si="24"/>
        <v>0</v>
      </c>
      <c r="BC11" s="8">
        <f t="shared" si="25"/>
        <v>0</v>
      </c>
      <c r="BD11" s="7"/>
      <c r="BE11" s="10"/>
      <c r="BF11" s="9">
        <f t="shared" si="26"/>
        <v>0</v>
      </c>
      <c r="BG11" s="8">
        <f t="shared" si="27"/>
        <v>0</v>
      </c>
      <c r="BH11" s="7"/>
      <c r="BI11" s="10"/>
      <c r="BJ11" s="9">
        <f t="shared" si="28"/>
        <v>0</v>
      </c>
      <c r="BK11" s="8">
        <f t="shared" si="29"/>
        <v>0</v>
      </c>
      <c r="BL11" s="7"/>
      <c r="BM11" s="10"/>
      <c r="BN11" s="9">
        <f t="shared" si="30"/>
        <v>0</v>
      </c>
      <c r="BO11" s="8">
        <f t="shared" si="31"/>
        <v>0</v>
      </c>
      <c r="BP11" s="7"/>
      <c r="BQ11" s="10"/>
      <c r="BR11" s="9">
        <f t="shared" si="32"/>
        <v>0</v>
      </c>
      <c r="BS11" s="8">
        <f t="shared" si="33"/>
        <v>0</v>
      </c>
      <c r="BT11" s="7"/>
      <c r="BU11" s="10"/>
      <c r="BV11" s="9">
        <f t="shared" si="34"/>
        <v>0</v>
      </c>
      <c r="BW11" s="8">
        <f t="shared" si="35"/>
        <v>0</v>
      </c>
      <c r="BX11" s="7"/>
      <c r="BY11" s="10"/>
      <c r="BZ11" s="9">
        <f t="shared" si="36"/>
        <v>0</v>
      </c>
      <c r="CA11" s="8">
        <f t="shared" si="37"/>
        <v>0</v>
      </c>
      <c r="CB11" s="7"/>
      <c r="CC11" s="10"/>
      <c r="CD11" s="9">
        <f t="shared" si="38"/>
        <v>0</v>
      </c>
      <c r="CE11" s="8">
        <f t="shared" si="39"/>
        <v>0</v>
      </c>
      <c r="CF11" s="7"/>
      <c r="CG11" s="10"/>
      <c r="CH11" s="9">
        <f t="shared" si="40"/>
        <v>0</v>
      </c>
      <c r="CI11" s="8">
        <f t="shared" si="41"/>
        <v>0</v>
      </c>
      <c r="CJ11" s="7"/>
      <c r="CK11" s="10"/>
      <c r="CL11" s="9">
        <f t="shared" si="42"/>
        <v>0</v>
      </c>
      <c r="CM11" s="8">
        <f t="shared" si="43"/>
        <v>0</v>
      </c>
      <c r="CN11" s="7"/>
      <c r="CO11" s="10"/>
      <c r="CP11" s="9">
        <f t="shared" si="44"/>
        <v>0</v>
      </c>
      <c r="CQ11" s="8">
        <f t="shared" si="45"/>
        <v>0</v>
      </c>
      <c r="CR11" s="7"/>
      <c r="CS11" s="10"/>
      <c r="CT11" s="9">
        <f t="shared" si="46"/>
        <v>0</v>
      </c>
      <c r="CU11" s="8">
        <f t="shared" si="47"/>
        <v>0</v>
      </c>
      <c r="CV11" s="7"/>
      <c r="CW11" s="10"/>
      <c r="CX11" s="9">
        <f t="shared" si="48"/>
        <v>0</v>
      </c>
      <c r="CY11" s="8">
        <f t="shared" si="49"/>
        <v>0</v>
      </c>
      <c r="CZ11" s="7"/>
      <c r="DA11" s="10"/>
      <c r="DB11" s="9">
        <f t="shared" si="50"/>
        <v>0</v>
      </c>
      <c r="DC11" s="8">
        <f t="shared" si="51"/>
        <v>0</v>
      </c>
      <c r="DD11" s="7"/>
      <c r="DE11" s="10"/>
      <c r="DF11" s="9">
        <f t="shared" si="52"/>
        <v>0</v>
      </c>
      <c r="DG11" s="8">
        <f t="shared" si="53"/>
        <v>0</v>
      </c>
      <c r="DH11" s="7"/>
      <c r="DI11" s="10"/>
      <c r="DJ11" s="9">
        <f t="shared" si="54"/>
        <v>0</v>
      </c>
      <c r="DK11" s="8">
        <f t="shared" si="55"/>
        <v>0</v>
      </c>
    </row>
    <row r="12" spans="1:115" ht="16" customHeight="1" thickBot="1">
      <c r="A12" s="134" t="s">
        <v>55</v>
      </c>
      <c r="B12" s="133" t="s">
        <v>137</v>
      </c>
      <c r="C12" s="124" t="s">
        <v>137</v>
      </c>
      <c r="D12" s="122"/>
      <c r="E12" s="10"/>
      <c r="F12" s="9">
        <f t="shared" si="0"/>
        <v>0</v>
      </c>
      <c r="G12" s="8">
        <f t="shared" si="1"/>
        <v>0</v>
      </c>
      <c r="H12" s="7"/>
      <c r="I12" s="10"/>
      <c r="J12" s="9">
        <f t="shared" si="2"/>
        <v>0</v>
      </c>
      <c r="K12" s="8">
        <f t="shared" si="3"/>
        <v>0</v>
      </c>
      <c r="L12" s="7"/>
      <c r="M12" s="10"/>
      <c r="N12" s="9">
        <f t="shared" si="4"/>
        <v>0</v>
      </c>
      <c r="O12" s="8">
        <f t="shared" si="5"/>
        <v>0</v>
      </c>
      <c r="P12" s="7"/>
      <c r="Q12" s="10"/>
      <c r="R12" s="9">
        <f t="shared" si="6"/>
        <v>0</v>
      </c>
      <c r="S12" s="8">
        <f t="shared" si="7"/>
        <v>0</v>
      </c>
      <c r="T12" s="7"/>
      <c r="U12" s="10"/>
      <c r="V12" s="9">
        <f t="shared" si="8"/>
        <v>0</v>
      </c>
      <c r="W12" s="8">
        <f t="shared" si="9"/>
        <v>0</v>
      </c>
      <c r="X12" s="7"/>
      <c r="Y12" s="10"/>
      <c r="Z12" s="9">
        <f t="shared" si="10"/>
        <v>0</v>
      </c>
      <c r="AA12" s="8">
        <f t="shared" si="11"/>
        <v>0</v>
      </c>
      <c r="AB12" s="7"/>
      <c r="AC12" s="10"/>
      <c r="AD12" s="9">
        <f t="shared" si="12"/>
        <v>0</v>
      </c>
      <c r="AE12" s="8">
        <f t="shared" si="13"/>
        <v>0</v>
      </c>
      <c r="AF12" s="7"/>
      <c r="AG12" s="10"/>
      <c r="AH12" s="9">
        <f t="shared" si="14"/>
        <v>0</v>
      </c>
      <c r="AI12" s="8">
        <f t="shared" si="15"/>
        <v>0</v>
      </c>
      <c r="AJ12" s="7"/>
      <c r="AK12" s="10"/>
      <c r="AL12" s="9">
        <f t="shared" si="16"/>
        <v>0</v>
      </c>
      <c r="AM12" s="8">
        <f t="shared" si="17"/>
        <v>0</v>
      </c>
      <c r="AN12" s="7"/>
      <c r="AO12" s="10"/>
      <c r="AP12" s="9">
        <f t="shared" si="18"/>
        <v>0</v>
      </c>
      <c r="AQ12" s="8">
        <f t="shared" si="19"/>
        <v>0</v>
      </c>
      <c r="AR12" s="7"/>
      <c r="AS12" s="10"/>
      <c r="AT12" s="9">
        <f t="shared" si="20"/>
        <v>0</v>
      </c>
      <c r="AU12" s="8">
        <f t="shared" si="21"/>
        <v>0</v>
      </c>
      <c r="AV12" s="7"/>
      <c r="AW12" s="10"/>
      <c r="AX12" s="9">
        <f t="shared" si="22"/>
        <v>0</v>
      </c>
      <c r="AY12" s="8">
        <f t="shared" si="23"/>
        <v>0</v>
      </c>
      <c r="AZ12" s="7"/>
      <c r="BA12" s="10"/>
      <c r="BB12" s="9">
        <f t="shared" si="24"/>
        <v>0</v>
      </c>
      <c r="BC12" s="8">
        <f t="shared" si="25"/>
        <v>0</v>
      </c>
      <c r="BD12" s="7"/>
      <c r="BE12" s="10"/>
      <c r="BF12" s="9">
        <f t="shared" si="26"/>
        <v>0</v>
      </c>
      <c r="BG12" s="8">
        <f t="shared" si="27"/>
        <v>0</v>
      </c>
      <c r="BH12" s="7"/>
      <c r="BI12" s="10"/>
      <c r="BJ12" s="9">
        <f t="shared" si="28"/>
        <v>0</v>
      </c>
      <c r="BK12" s="8">
        <f t="shared" si="29"/>
        <v>0</v>
      </c>
      <c r="BL12" s="7"/>
      <c r="BM12" s="10"/>
      <c r="BN12" s="9">
        <f t="shared" si="30"/>
        <v>0</v>
      </c>
      <c r="BO12" s="8">
        <f t="shared" si="31"/>
        <v>0</v>
      </c>
      <c r="BP12" s="7"/>
      <c r="BQ12" s="10"/>
      <c r="BR12" s="9">
        <f t="shared" si="32"/>
        <v>0</v>
      </c>
      <c r="BS12" s="8">
        <f t="shared" si="33"/>
        <v>0</v>
      </c>
      <c r="BT12" s="7"/>
      <c r="BU12" s="10"/>
      <c r="BV12" s="9">
        <f t="shared" si="34"/>
        <v>0</v>
      </c>
      <c r="BW12" s="8">
        <f t="shared" si="35"/>
        <v>0</v>
      </c>
      <c r="BX12" s="7"/>
      <c r="BY12" s="10"/>
      <c r="BZ12" s="9">
        <f t="shared" si="36"/>
        <v>0</v>
      </c>
      <c r="CA12" s="8">
        <f t="shared" si="37"/>
        <v>0</v>
      </c>
      <c r="CB12" s="114"/>
      <c r="CC12" s="10"/>
      <c r="CD12" s="9">
        <f t="shared" si="38"/>
        <v>0</v>
      </c>
      <c r="CE12" s="8">
        <f t="shared" si="39"/>
        <v>0</v>
      </c>
      <c r="CF12" s="7"/>
      <c r="CG12" s="10"/>
      <c r="CH12" s="9">
        <f t="shared" si="40"/>
        <v>0</v>
      </c>
      <c r="CI12" s="8">
        <f t="shared" si="41"/>
        <v>0</v>
      </c>
      <c r="CJ12" s="7"/>
      <c r="CK12" s="10"/>
      <c r="CL12" s="9">
        <f t="shared" si="42"/>
        <v>0</v>
      </c>
      <c r="CM12" s="8">
        <f t="shared" si="43"/>
        <v>0</v>
      </c>
      <c r="CN12" s="7"/>
      <c r="CO12" s="10"/>
      <c r="CP12" s="9">
        <f t="shared" si="44"/>
        <v>0</v>
      </c>
      <c r="CQ12" s="8">
        <f t="shared" si="45"/>
        <v>0</v>
      </c>
      <c r="CR12" s="7"/>
      <c r="CS12" s="10"/>
      <c r="CT12" s="9">
        <f t="shared" si="46"/>
        <v>0</v>
      </c>
      <c r="CU12" s="8">
        <f t="shared" si="47"/>
        <v>0</v>
      </c>
      <c r="CV12" s="7"/>
      <c r="CW12" s="10"/>
      <c r="CX12" s="9">
        <f t="shared" si="48"/>
        <v>0</v>
      </c>
      <c r="CY12" s="8">
        <f t="shared" si="49"/>
        <v>0</v>
      </c>
      <c r="CZ12" s="7"/>
      <c r="DA12" s="10"/>
      <c r="DB12" s="9">
        <f t="shared" si="50"/>
        <v>0</v>
      </c>
      <c r="DC12" s="8">
        <f t="shared" si="51"/>
        <v>0</v>
      </c>
      <c r="DD12" s="7"/>
      <c r="DE12" s="10"/>
      <c r="DF12" s="9">
        <f t="shared" si="52"/>
        <v>0</v>
      </c>
      <c r="DG12" s="8">
        <f t="shared" si="53"/>
        <v>0</v>
      </c>
      <c r="DH12" s="7"/>
      <c r="DI12" s="10"/>
      <c r="DJ12" s="9">
        <f t="shared" si="54"/>
        <v>0</v>
      </c>
      <c r="DK12" s="8">
        <f t="shared" si="55"/>
        <v>0</v>
      </c>
    </row>
    <row r="13" spans="1:115" ht="16" customHeight="1" thickBot="1">
      <c r="A13" s="134" t="s">
        <v>56</v>
      </c>
      <c r="B13" s="133" t="s">
        <v>137</v>
      </c>
      <c r="C13" s="124" t="s">
        <v>137</v>
      </c>
      <c r="D13" s="122"/>
      <c r="E13" s="10"/>
      <c r="F13" s="9">
        <f t="shared" si="0"/>
        <v>0</v>
      </c>
      <c r="G13" s="8">
        <f t="shared" si="1"/>
        <v>0</v>
      </c>
      <c r="H13" s="7"/>
      <c r="I13" s="10"/>
      <c r="J13" s="9">
        <f t="shared" si="2"/>
        <v>0</v>
      </c>
      <c r="K13" s="8">
        <f t="shared" si="3"/>
        <v>0</v>
      </c>
      <c r="L13" s="10"/>
      <c r="M13" s="10"/>
      <c r="N13" s="9">
        <f t="shared" si="4"/>
        <v>0</v>
      </c>
      <c r="O13" s="8">
        <f t="shared" si="5"/>
        <v>0</v>
      </c>
      <c r="P13" s="7"/>
      <c r="Q13" s="10"/>
      <c r="R13" s="9">
        <f t="shared" si="6"/>
        <v>0</v>
      </c>
      <c r="S13" s="8">
        <f t="shared" si="7"/>
        <v>0</v>
      </c>
      <c r="T13" s="7"/>
      <c r="U13" s="10"/>
      <c r="V13" s="9">
        <f t="shared" si="8"/>
        <v>0</v>
      </c>
      <c r="W13" s="8">
        <f t="shared" si="9"/>
        <v>0</v>
      </c>
      <c r="X13" s="7"/>
      <c r="Y13" s="10"/>
      <c r="Z13" s="9">
        <f t="shared" si="10"/>
        <v>0</v>
      </c>
      <c r="AA13" s="8">
        <f t="shared" si="11"/>
        <v>0</v>
      </c>
      <c r="AB13" s="7"/>
      <c r="AC13" s="10"/>
      <c r="AD13" s="9">
        <f t="shared" si="12"/>
        <v>0</v>
      </c>
      <c r="AE13" s="8">
        <f t="shared" si="13"/>
        <v>0</v>
      </c>
      <c r="AF13" s="7"/>
      <c r="AG13" s="10"/>
      <c r="AH13" s="9">
        <f t="shared" si="14"/>
        <v>0</v>
      </c>
      <c r="AI13" s="8">
        <f t="shared" si="15"/>
        <v>0</v>
      </c>
      <c r="AJ13" s="7"/>
      <c r="AK13" s="10"/>
      <c r="AL13" s="9">
        <f t="shared" si="16"/>
        <v>0</v>
      </c>
      <c r="AM13" s="8">
        <f t="shared" si="17"/>
        <v>0</v>
      </c>
      <c r="AN13" s="7"/>
      <c r="AO13" s="10"/>
      <c r="AP13" s="9">
        <f t="shared" si="18"/>
        <v>0</v>
      </c>
      <c r="AQ13" s="8">
        <f t="shared" si="19"/>
        <v>0</v>
      </c>
      <c r="AR13" s="7"/>
      <c r="AS13" s="10"/>
      <c r="AT13" s="9">
        <f t="shared" si="20"/>
        <v>0</v>
      </c>
      <c r="AU13" s="8">
        <f t="shared" si="21"/>
        <v>0</v>
      </c>
      <c r="AV13" s="7"/>
      <c r="AW13" s="10"/>
      <c r="AX13" s="9">
        <f t="shared" si="22"/>
        <v>0</v>
      </c>
      <c r="AY13" s="8">
        <f t="shared" si="23"/>
        <v>0</v>
      </c>
      <c r="AZ13" s="7"/>
      <c r="BA13" s="10"/>
      <c r="BB13" s="9">
        <f t="shared" si="24"/>
        <v>0</v>
      </c>
      <c r="BC13" s="8">
        <f t="shared" si="25"/>
        <v>0</v>
      </c>
      <c r="BD13" s="7"/>
      <c r="BE13" s="10"/>
      <c r="BF13" s="9">
        <f t="shared" si="26"/>
        <v>0</v>
      </c>
      <c r="BG13" s="8">
        <f t="shared" si="27"/>
        <v>0</v>
      </c>
      <c r="BH13" s="7"/>
      <c r="BI13" s="10"/>
      <c r="BJ13" s="9">
        <f t="shared" si="28"/>
        <v>0</v>
      </c>
      <c r="BK13" s="8">
        <f t="shared" si="29"/>
        <v>0</v>
      </c>
      <c r="BL13" s="7"/>
      <c r="BM13" s="10"/>
      <c r="BN13" s="9">
        <f t="shared" si="30"/>
        <v>0</v>
      </c>
      <c r="BO13" s="8">
        <f t="shared" si="31"/>
        <v>0</v>
      </c>
      <c r="BP13" s="7"/>
      <c r="BQ13" s="10"/>
      <c r="BR13" s="9">
        <f t="shared" si="32"/>
        <v>0</v>
      </c>
      <c r="BS13" s="8">
        <f t="shared" si="33"/>
        <v>0</v>
      </c>
      <c r="BT13" s="7"/>
      <c r="BU13" s="10"/>
      <c r="BV13" s="9">
        <f t="shared" si="34"/>
        <v>0</v>
      </c>
      <c r="BW13" s="8">
        <f t="shared" si="35"/>
        <v>0</v>
      </c>
      <c r="BX13" s="7"/>
      <c r="BY13" s="10"/>
      <c r="BZ13" s="9">
        <f t="shared" si="36"/>
        <v>0</v>
      </c>
      <c r="CA13" s="8">
        <f t="shared" si="37"/>
        <v>0</v>
      </c>
      <c r="CB13" s="114"/>
      <c r="CC13" s="10"/>
      <c r="CD13" s="9">
        <f t="shared" si="38"/>
        <v>0</v>
      </c>
      <c r="CE13" s="8">
        <f t="shared" si="39"/>
        <v>0</v>
      </c>
      <c r="CF13" s="7"/>
      <c r="CG13" s="10"/>
      <c r="CH13" s="9">
        <f t="shared" si="40"/>
        <v>0</v>
      </c>
      <c r="CI13" s="8">
        <f t="shared" si="41"/>
        <v>0</v>
      </c>
      <c r="CJ13" s="7"/>
      <c r="CK13" s="10"/>
      <c r="CL13" s="9">
        <f t="shared" si="42"/>
        <v>0</v>
      </c>
      <c r="CM13" s="8">
        <f t="shared" si="43"/>
        <v>0</v>
      </c>
      <c r="CN13" s="7"/>
      <c r="CO13" s="10"/>
      <c r="CP13" s="9">
        <f t="shared" si="44"/>
        <v>0</v>
      </c>
      <c r="CQ13" s="8">
        <f t="shared" si="45"/>
        <v>0</v>
      </c>
      <c r="CR13" s="7"/>
      <c r="CS13" s="10"/>
      <c r="CT13" s="9">
        <f t="shared" si="46"/>
        <v>0</v>
      </c>
      <c r="CU13" s="8">
        <f t="shared" si="47"/>
        <v>0</v>
      </c>
      <c r="CV13" s="7"/>
      <c r="CW13" s="10"/>
      <c r="CX13" s="9">
        <f t="shared" si="48"/>
        <v>0</v>
      </c>
      <c r="CY13" s="8">
        <f t="shared" si="49"/>
        <v>0</v>
      </c>
      <c r="CZ13" s="7"/>
      <c r="DA13" s="10"/>
      <c r="DB13" s="9">
        <f t="shared" si="50"/>
        <v>0</v>
      </c>
      <c r="DC13" s="8">
        <f t="shared" si="51"/>
        <v>0</v>
      </c>
      <c r="DD13" s="7"/>
      <c r="DE13" s="10"/>
      <c r="DF13" s="9">
        <f t="shared" si="52"/>
        <v>0</v>
      </c>
      <c r="DG13" s="8">
        <f t="shared" si="53"/>
        <v>0</v>
      </c>
      <c r="DH13" s="7"/>
      <c r="DI13" s="10"/>
      <c r="DJ13" s="9">
        <f t="shared" si="54"/>
        <v>0</v>
      </c>
      <c r="DK13" s="8">
        <f t="shared" si="55"/>
        <v>0</v>
      </c>
    </row>
    <row r="14" spans="1:115" ht="16" customHeight="1" thickBot="1">
      <c r="A14" s="134" t="s">
        <v>57</v>
      </c>
      <c r="B14" s="133" t="s">
        <v>137</v>
      </c>
      <c r="C14" s="124" t="s">
        <v>137</v>
      </c>
      <c r="D14" s="122"/>
      <c r="E14" s="10"/>
      <c r="F14" s="9">
        <f t="shared" si="0"/>
        <v>0</v>
      </c>
      <c r="G14" s="8">
        <f t="shared" si="1"/>
        <v>0</v>
      </c>
      <c r="H14" s="7"/>
      <c r="I14" s="10"/>
      <c r="J14" s="9">
        <f t="shared" si="2"/>
        <v>0</v>
      </c>
      <c r="K14" s="8">
        <f t="shared" si="3"/>
        <v>0</v>
      </c>
      <c r="L14" s="7"/>
      <c r="M14" s="10"/>
      <c r="N14" s="9">
        <f t="shared" si="4"/>
        <v>0</v>
      </c>
      <c r="O14" s="8">
        <f t="shared" si="5"/>
        <v>0</v>
      </c>
      <c r="P14" s="7"/>
      <c r="Q14" s="10"/>
      <c r="R14" s="9">
        <f t="shared" si="6"/>
        <v>0</v>
      </c>
      <c r="S14" s="8">
        <f t="shared" si="7"/>
        <v>0</v>
      </c>
      <c r="T14" s="7"/>
      <c r="U14" s="10"/>
      <c r="V14" s="9">
        <f t="shared" si="8"/>
        <v>0</v>
      </c>
      <c r="W14" s="8">
        <f t="shared" si="9"/>
        <v>0</v>
      </c>
      <c r="X14" s="7"/>
      <c r="Y14" s="10"/>
      <c r="Z14" s="9">
        <f t="shared" si="10"/>
        <v>0</v>
      </c>
      <c r="AA14" s="8">
        <f t="shared" si="11"/>
        <v>0</v>
      </c>
      <c r="AB14" s="7"/>
      <c r="AC14" s="10"/>
      <c r="AD14" s="9">
        <f t="shared" si="12"/>
        <v>0</v>
      </c>
      <c r="AE14" s="8">
        <f t="shared" si="13"/>
        <v>0</v>
      </c>
      <c r="AF14" s="7"/>
      <c r="AG14" s="10"/>
      <c r="AH14" s="9">
        <f t="shared" si="14"/>
        <v>0</v>
      </c>
      <c r="AI14" s="8">
        <f t="shared" si="15"/>
        <v>0</v>
      </c>
      <c r="AJ14" s="7"/>
      <c r="AK14" s="10"/>
      <c r="AL14" s="9">
        <f t="shared" si="16"/>
        <v>0</v>
      </c>
      <c r="AM14" s="8">
        <f t="shared" si="17"/>
        <v>0</v>
      </c>
      <c r="AN14" s="7"/>
      <c r="AO14" s="10"/>
      <c r="AP14" s="9">
        <f t="shared" si="18"/>
        <v>0</v>
      </c>
      <c r="AQ14" s="8">
        <f t="shared" si="19"/>
        <v>0</v>
      </c>
      <c r="AR14" s="7"/>
      <c r="AS14" s="10"/>
      <c r="AT14" s="9">
        <f t="shared" si="20"/>
        <v>0</v>
      </c>
      <c r="AU14" s="8">
        <f t="shared" si="21"/>
        <v>0</v>
      </c>
      <c r="AV14" s="7"/>
      <c r="AW14" s="10"/>
      <c r="AX14" s="9">
        <f t="shared" si="22"/>
        <v>0</v>
      </c>
      <c r="AY14" s="8">
        <f t="shared" si="23"/>
        <v>0</v>
      </c>
      <c r="AZ14" s="7"/>
      <c r="BA14" s="10"/>
      <c r="BB14" s="9">
        <f t="shared" si="24"/>
        <v>0</v>
      </c>
      <c r="BC14" s="8">
        <f t="shared" si="25"/>
        <v>0</v>
      </c>
      <c r="BD14" s="7"/>
      <c r="BE14" s="10"/>
      <c r="BF14" s="9">
        <f t="shared" si="26"/>
        <v>0</v>
      </c>
      <c r="BG14" s="8">
        <f t="shared" si="27"/>
        <v>0</v>
      </c>
      <c r="BH14" s="7"/>
      <c r="BI14" s="10"/>
      <c r="BJ14" s="9">
        <f t="shared" si="28"/>
        <v>0</v>
      </c>
      <c r="BK14" s="8">
        <f t="shared" si="29"/>
        <v>0</v>
      </c>
      <c r="BL14" s="7"/>
      <c r="BM14" s="10"/>
      <c r="BN14" s="9">
        <f t="shared" si="30"/>
        <v>0</v>
      </c>
      <c r="BO14" s="8">
        <f t="shared" si="31"/>
        <v>0</v>
      </c>
      <c r="BP14" s="7"/>
      <c r="BQ14" s="10"/>
      <c r="BR14" s="9">
        <f t="shared" si="32"/>
        <v>0</v>
      </c>
      <c r="BS14" s="8">
        <f t="shared" si="33"/>
        <v>0</v>
      </c>
      <c r="BT14" s="7"/>
      <c r="BU14" s="10"/>
      <c r="BV14" s="9">
        <f t="shared" si="34"/>
        <v>0</v>
      </c>
      <c r="BW14" s="8">
        <f t="shared" si="35"/>
        <v>0</v>
      </c>
      <c r="BX14" s="7"/>
      <c r="BY14" s="10"/>
      <c r="BZ14" s="9">
        <f t="shared" si="36"/>
        <v>0</v>
      </c>
      <c r="CA14" s="8">
        <f t="shared" si="37"/>
        <v>0</v>
      </c>
      <c r="CB14" s="7"/>
      <c r="CC14" s="10"/>
      <c r="CD14" s="9">
        <f t="shared" si="38"/>
        <v>0</v>
      </c>
      <c r="CE14" s="8">
        <f t="shared" si="39"/>
        <v>0</v>
      </c>
      <c r="CF14" s="7"/>
      <c r="CG14" s="10"/>
      <c r="CH14" s="9">
        <f t="shared" si="40"/>
        <v>0</v>
      </c>
      <c r="CI14" s="8">
        <f t="shared" si="41"/>
        <v>0</v>
      </c>
      <c r="CJ14" s="7"/>
      <c r="CK14" s="10"/>
      <c r="CL14" s="9">
        <f t="shared" si="42"/>
        <v>0</v>
      </c>
      <c r="CM14" s="8">
        <f t="shared" si="43"/>
        <v>0</v>
      </c>
      <c r="CN14" s="7"/>
      <c r="CO14" s="10"/>
      <c r="CP14" s="9">
        <f t="shared" si="44"/>
        <v>0</v>
      </c>
      <c r="CQ14" s="8">
        <f t="shared" si="45"/>
        <v>0</v>
      </c>
      <c r="CR14" s="7"/>
      <c r="CS14" s="10"/>
      <c r="CT14" s="9">
        <f t="shared" si="46"/>
        <v>0</v>
      </c>
      <c r="CU14" s="8">
        <f t="shared" si="47"/>
        <v>0</v>
      </c>
      <c r="CV14" s="7"/>
      <c r="CW14" s="10"/>
      <c r="CX14" s="9">
        <f t="shared" si="48"/>
        <v>0</v>
      </c>
      <c r="CY14" s="8">
        <f t="shared" si="49"/>
        <v>0</v>
      </c>
      <c r="CZ14" s="7"/>
      <c r="DA14" s="10"/>
      <c r="DB14" s="9">
        <f t="shared" si="50"/>
        <v>0</v>
      </c>
      <c r="DC14" s="8">
        <f t="shared" si="51"/>
        <v>0</v>
      </c>
      <c r="DD14" s="7"/>
      <c r="DE14" s="10"/>
      <c r="DF14" s="9">
        <f t="shared" si="52"/>
        <v>0</v>
      </c>
      <c r="DG14" s="8">
        <f t="shared" si="53"/>
        <v>0</v>
      </c>
      <c r="DH14" s="7"/>
      <c r="DI14" s="10"/>
      <c r="DJ14" s="9">
        <f t="shared" si="54"/>
        <v>0</v>
      </c>
      <c r="DK14" s="8">
        <f t="shared" si="55"/>
        <v>0</v>
      </c>
    </row>
    <row r="15" spans="1:115" ht="16" customHeight="1" thickBot="1">
      <c r="A15" s="134" t="s">
        <v>58</v>
      </c>
      <c r="B15" s="133" t="s">
        <v>137</v>
      </c>
      <c r="C15" s="124" t="s">
        <v>137</v>
      </c>
      <c r="D15" s="122"/>
      <c r="E15" s="10"/>
      <c r="F15" s="9">
        <f t="shared" si="0"/>
        <v>0</v>
      </c>
      <c r="G15" s="8">
        <f t="shared" si="1"/>
        <v>0</v>
      </c>
      <c r="H15" s="7"/>
      <c r="I15" s="10"/>
      <c r="J15" s="9">
        <f t="shared" si="2"/>
        <v>0</v>
      </c>
      <c r="K15" s="8">
        <f t="shared" si="3"/>
        <v>0</v>
      </c>
      <c r="L15" s="10"/>
      <c r="M15" s="10"/>
      <c r="N15" s="9">
        <f t="shared" si="4"/>
        <v>0</v>
      </c>
      <c r="O15" s="8">
        <f t="shared" si="5"/>
        <v>0</v>
      </c>
      <c r="P15" s="7"/>
      <c r="Q15" s="10"/>
      <c r="R15" s="9">
        <f t="shared" si="6"/>
        <v>0</v>
      </c>
      <c r="S15" s="8">
        <f t="shared" si="7"/>
        <v>0</v>
      </c>
      <c r="T15" s="7"/>
      <c r="U15" s="10"/>
      <c r="V15" s="9">
        <f t="shared" si="8"/>
        <v>0</v>
      </c>
      <c r="W15" s="8">
        <f t="shared" si="9"/>
        <v>0</v>
      </c>
      <c r="X15" s="7"/>
      <c r="Y15" s="10"/>
      <c r="Z15" s="9">
        <f t="shared" si="10"/>
        <v>0</v>
      </c>
      <c r="AA15" s="8">
        <f t="shared" si="11"/>
        <v>0</v>
      </c>
      <c r="AB15" s="7"/>
      <c r="AC15" s="10"/>
      <c r="AD15" s="9">
        <f t="shared" si="12"/>
        <v>0</v>
      </c>
      <c r="AE15" s="8">
        <f t="shared" si="13"/>
        <v>0</v>
      </c>
      <c r="AF15" s="7"/>
      <c r="AG15" s="10"/>
      <c r="AH15" s="9">
        <f t="shared" si="14"/>
        <v>0</v>
      </c>
      <c r="AI15" s="8">
        <f t="shared" si="15"/>
        <v>0</v>
      </c>
      <c r="AJ15" s="7"/>
      <c r="AK15" s="10"/>
      <c r="AL15" s="9">
        <f t="shared" si="16"/>
        <v>0</v>
      </c>
      <c r="AM15" s="8">
        <f t="shared" si="17"/>
        <v>0</v>
      </c>
      <c r="AN15" s="7"/>
      <c r="AO15" s="10"/>
      <c r="AP15" s="9">
        <f t="shared" si="18"/>
        <v>0</v>
      </c>
      <c r="AQ15" s="8">
        <f t="shared" si="19"/>
        <v>0</v>
      </c>
      <c r="AR15" s="7"/>
      <c r="AS15" s="10"/>
      <c r="AT15" s="9">
        <f t="shared" si="20"/>
        <v>0</v>
      </c>
      <c r="AU15" s="8">
        <f t="shared" si="21"/>
        <v>0</v>
      </c>
      <c r="AV15" s="7"/>
      <c r="AW15" s="10"/>
      <c r="AX15" s="9">
        <f t="shared" si="22"/>
        <v>0</v>
      </c>
      <c r="AY15" s="8">
        <f t="shared" si="23"/>
        <v>0</v>
      </c>
      <c r="AZ15" s="7"/>
      <c r="BA15" s="10"/>
      <c r="BB15" s="9">
        <f t="shared" si="24"/>
        <v>0</v>
      </c>
      <c r="BC15" s="8">
        <f t="shared" si="25"/>
        <v>0</v>
      </c>
      <c r="BD15" s="7"/>
      <c r="BE15" s="10"/>
      <c r="BF15" s="9">
        <f t="shared" si="26"/>
        <v>0</v>
      </c>
      <c r="BG15" s="8">
        <f t="shared" si="27"/>
        <v>0</v>
      </c>
      <c r="BH15" s="7"/>
      <c r="BI15" s="10"/>
      <c r="BJ15" s="9">
        <f t="shared" si="28"/>
        <v>0</v>
      </c>
      <c r="BK15" s="8">
        <f t="shared" si="29"/>
        <v>0</v>
      </c>
      <c r="BL15" s="7"/>
      <c r="BM15" s="10"/>
      <c r="BN15" s="9">
        <f t="shared" si="30"/>
        <v>0</v>
      </c>
      <c r="BO15" s="8">
        <f t="shared" si="31"/>
        <v>0</v>
      </c>
      <c r="BP15" s="7"/>
      <c r="BQ15" s="10"/>
      <c r="BR15" s="9">
        <f t="shared" si="32"/>
        <v>0</v>
      </c>
      <c r="BS15" s="8">
        <f t="shared" si="33"/>
        <v>0</v>
      </c>
      <c r="BT15" s="7"/>
      <c r="BU15" s="10"/>
      <c r="BV15" s="9">
        <f t="shared" si="34"/>
        <v>0</v>
      </c>
      <c r="BW15" s="8">
        <f t="shared" si="35"/>
        <v>0</v>
      </c>
      <c r="BX15" s="7"/>
      <c r="BY15" s="10"/>
      <c r="BZ15" s="9">
        <f t="shared" si="36"/>
        <v>0</v>
      </c>
      <c r="CA15" s="8">
        <f t="shared" si="37"/>
        <v>0</v>
      </c>
      <c r="CB15" s="7"/>
      <c r="CC15" s="10"/>
      <c r="CD15" s="9">
        <f t="shared" si="38"/>
        <v>0</v>
      </c>
      <c r="CE15" s="8">
        <f t="shared" si="39"/>
        <v>0</v>
      </c>
      <c r="CF15" s="7"/>
      <c r="CG15" s="10"/>
      <c r="CH15" s="9">
        <f t="shared" si="40"/>
        <v>0</v>
      </c>
      <c r="CI15" s="8">
        <f t="shared" si="41"/>
        <v>0</v>
      </c>
      <c r="CJ15" s="7"/>
      <c r="CK15" s="10"/>
      <c r="CL15" s="9">
        <f t="shared" si="42"/>
        <v>0</v>
      </c>
      <c r="CM15" s="8">
        <f t="shared" si="43"/>
        <v>0</v>
      </c>
      <c r="CN15" s="7"/>
      <c r="CO15" s="10"/>
      <c r="CP15" s="9">
        <f t="shared" si="44"/>
        <v>0</v>
      </c>
      <c r="CQ15" s="8">
        <f t="shared" si="45"/>
        <v>0</v>
      </c>
      <c r="CR15" s="7"/>
      <c r="CS15" s="10"/>
      <c r="CT15" s="9">
        <f t="shared" si="46"/>
        <v>0</v>
      </c>
      <c r="CU15" s="8">
        <f t="shared" si="47"/>
        <v>0</v>
      </c>
      <c r="CV15" s="7"/>
      <c r="CW15" s="10"/>
      <c r="CX15" s="9">
        <f t="shared" si="48"/>
        <v>0</v>
      </c>
      <c r="CY15" s="8">
        <f t="shared" si="49"/>
        <v>0</v>
      </c>
      <c r="CZ15" s="7"/>
      <c r="DA15" s="10"/>
      <c r="DB15" s="9">
        <f t="shared" si="50"/>
        <v>0</v>
      </c>
      <c r="DC15" s="8">
        <f t="shared" si="51"/>
        <v>0</v>
      </c>
      <c r="DD15" s="7"/>
      <c r="DE15" s="10"/>
      <c r="DF15" s="9">
        <f t="shared" si="52"/>
        <v>0</v>
      </c>
      <c r="DG15" s="8">
        <f t="shared" si="53"/>
        <v>0</v>
      </c>
      <c r="DH15" s="7"/>
      <c r="DI15" s="10"/>
      <c r="DJ15" s="9">
        <f t="shared" si="54"/>
        <v>0</v>
      </c>
      <c r="DK15" s="8">
        <f t="shared" si="55"/>
        <v>0</v>
      </c>
    </row>
    <row r="16" spans="1:115" ht="16" customHeight="1" thickBot="1">
      <c r="A16" s="134" t="s">
        <v>59</v>
      </c>
      <c r="B16" s="133" t="s">
        <v>137</v>
      </c>
      <c r="C16" s="124" t="s">
        <v>137</v>
      </c>
      <c r="D16" s="122"/>
      <c r="E16" s="10"/>
      <c r="F16" s="9">
        <f t="shared" si="0"/>
        <v>0</v>
      </c>
      <c r="G16" s="8">
        <f t="shared" si="1"/>
        <v>0</v>
      </c>
      <c r="H16" s="7"/>
      <c r="I16" s="10"/>
      <c r="J16" s="9">
        <f t="shared" si="2"/>
        <v>0</v>
      </c>
      <c r="K16" s="8">
        <f t="shared" si="3"/>
        <v>0</v>
      </c>
      <c r="L16" s="7"/>
      <c r="M16" s="10"/>
      <c r="N16" s="9">
        <f t="shared" si="4"/>
        <v>0</v>
      </c>
      <c r="O16" s="8">
        <f t="shared" si="5"/>
        <v>0</v>
      </c>
      <c r="P16" s="7"/>
      <c r="Q16" s="10"/>
      <c r="R16" s="9">
        <f t="shared" si="6"/>
        <v>0</v>
      </c>
      <c r="S16" s="8">
        <f t="shared" si="7"/>
        <v>0</v>
      </c>
      <c r="T16" s="7"/>
      <c r="U16" s="10"/>
      <c r="V16" s="9">
        <f t="shared" si="8"/>
        <v>0</v>
      </c>
      <c r="W16" s="8">
        <f t="shared" si="9"/>
        <v>0</v>
      </c>
      <c r="X16" s="7"/>
      <c r="Y16" s="10"/>
      <c r="Z16" s="9">
        <f t="shared" si="10"/>
        <v>0</v>
      </c>
      <c r="AA16" s="8">
        <f t="shared" si="11"/>
        <v>0</v>
      </c>
      <c r="AB16" s="7"/>
      <c r="AC16" s="10"/>
      <c r="AD16" s="9">
        <f t="shared" si="12"/>
        <v>0</v>
      </c>
      <c r="AE16" s="8">
        <f t="shared" si="13"/>
        <v>0</v>
      </c>
      <c r="AF16" s="7"/>
      <c r="AG16" s="10"/>
      <c r="AH16" s="9">
        <f t="shared" si="14"/>
        <v>0</v>
      </c>
      <c r="AI16" s="8">
        <f t="shared" si="15"/>
        <v>0</v>
      </c>
      <c r="AJ16" s="7"/>
      <c r="AK16" s="10"/>
      <c r="AL16" s="9">
        <f t="shared" si="16"/>
        <v>0</v>
      </c>
      <c r="AM16" s="8">
        <f t="shared" si="17"/>
        <v>0</v>
      </c>
      <c r="AN16" s="7"/>
      <c r="AO16" s="10"/>
      <c r="AP16" s="9">
        <f t="shared" si="18"/>
        <v>0</v>
      </c>
      <c r="AQ16" s="8">
        <f t="shared" si="19"/>
        <v>0</v>
      </c>
      <c r="AR16" s="7"/>
      <c r="AS16" s="10"/>
      <c r="AT16" s="9">
        <f t="shared" si="20"/>
        <v>0</v>
      </c>
      <c r="AU16" s="8">
        <f t="shared" si="21"/>
        <v>0</v>
      </c>
      <c r="AV16" s="7"/>
      <c r="AW16" s="10"/>
      <c r="AX16" s="9">
        <f t="shared" si="22"/>
        <v>0</v>
      </c>
      <c r="AY16" s="8">
        <f t="shared" si="23"/>
        <v>0</v>
      </c>
      <c r="AZ16" s="7"/>
      <c r="BA16" s="10"/>
      <c r="BB16" s="9">
        <f t="shared" si="24"/>
        <v>0</v>
      </c>
      <c r="BC16" s="8">
        <f t="shared" si="25"/>
        <v>0</v>
      </c>
      <c r="BD16" s="7"/>
      <c r="BE16" s="10"/>
      <c r="BF16" s="9">
        <f t="shared" si="26"/>
        <v>0</v>
      </c>
      <c r="BG16" s="8">
        <f t="shared" si="27"/>
        <v>0</v>
      </c>
      <c r="BH16" s="7"/>
      <c r="BI16" s="10"/>
      <c r="BJ16" s="9">
        <f t="shared" si="28"/>
        <v>0</v>
      </c>
      <c r="BK16" s="8">
        <f t="shared" si="29"/>
        <v>0</v>
      </c>
      <c r="BL16" s="7"/>
      <c r="BM16" s="10"/>
      <c r="BN16" s="9">
        <f t="shared" si="30"/>
        <v>0</v>
      </c>
      <c r="BO16" s="8">
        <f t="shared" si="31"/>
        <v>0</v>
      </c>
      <c r="BP16" s="7"/>
      <c r="BQ16" s="10"/>
      <c r="BR16" s="9">
        <f t="shared" si="32"/>
        <v>0</v>
      </c>
      <c r="BS16" s="8">
        <f t="shared" si="33"/>
        <v>0</v>
      </c>
      <c r="BT16" s="7"/>
      <c r="BU16" s="10"/>
      <c r="BV16" s="9">
        <f t="shared" si="34"/>
        <v>0</v>
      </c>
      <c r="BW16" s="8">
        <f t="shared" si="35"/>
        <v>0</v>
      </c>
      <c r="BX16" s="7"/>
      <c r="BY16" s="10"/>
      <c r="BZ16" s="9">
        <f t="shared" si="36"/>
        <v>0</v>
      </c>
      <c r="CA16" s="8">
        <f t="shared" si="37"/>
        <v>0</v>
      </c>
      <c r="CB16" s="114"/>
      <c r="CC16" s="10"/>
      <c r="CD16" s="9">
        <f t="shared" si="38"/>
        <v>0</v>
      </c>
      <c r="CE16" s="8">
        <f t="shared" si="39"/>
        <v>0</v>
      </c>
      <c r="CF16" s="7"/>
      <c r="CG16" s="10"/>
      <c r="CH16" s="9">
        <f t="shared" si="40"/>
        <v>0</v>
      </c>
      <c r="CI16" s="8">
        <f t="shared" si="41"/>
        <v>0</v>
      </c>
      <c r="CJ16" s="7"/>
      <c r="CK16" s="10"/>
      <c r="CL16" s="9">
        <f t="shared" si="42"/>
        <v>0</v>
      </c>
      <c r="CM16" s="8">
        <f t="shared" si="43"/>
        <v>0</v>
      </c>
      <c r="CN16" s="7"/>
      <c r="CO16" s="10"/>
      <c r="CP16" s="9">
        <f t="shared" si="44"/>
        <v>0</v>
      </c>
      <c r="CQ16" s="8">
        <f t="shared" si="45"/>
        <v>0</v>
      </c>
      <c r="CR16" s="7"/>
      <c r="CS16" s="10"/>
      <c r="CT16" s="9">
        <f t="shared" si="46"/>
        <v>0</v>
      </c>
      <c r="CU16" s="8">
        <f t="shared" si="47"/>
        <v>0</v>
      </c>
      <c r="CV16" s="7"/>
      <c r="CW16" s="10"/>
      <c r="CX16" s="9">
        <f t="shared" si="48"/>
        <v>0</v>
      </c>
      <c r="CY16" s="8">
        <f t="shared" si="49"/>
        <v>0</v>
      </c>
      <c r="CZ16" s="7"/>
      <c r="DA16" s="10"/>
      <c r="DB16" s="9">
        <f t="shared" si="50"/>
        <v>0</v>
      </c>
      <c r="DC16" s="8">
        <f t="shared" si="51"/>
        <v>0</v>
      </c>
      <c r="DD16" s="7"/>
      <c r="DE16" s="10"/>
      <c r="DF16" s="9">
        <f t="shared" si="52"/>
        <v>0</v>
      </c>
      <c r="DG16" s="8">
        <f t="shared" si="53"/>
        <v>0</v>
      </c>
      <c r="DH16" s="7"/>
      <c r="DI16" s="10"/>
      <c r="DJ16" s="9">
        <f t="shared" si="54"/>
        <v>0</v>
      </c>
      <c r="DK16" s="8">
        <f t="shared" si="55"/>
        <v>0</v>
      </c>
    </row>
    <row r="17" spans="1:115" ht="16" customHeight="1" thickBot="1">
      <c r="A17" s="134" t="s">
        <v>60</v>
      </c>
      <c r="B17" s="133" t="s">
        <v>137</v>
      </c>
      <c r="C17" s="124" t="s">
        <v>137</v>
      </c>
      <c r="D17" s="122"/>
      <c r="E17" s="10"/>
      <c r="F17" s="9">
        <f t="shared" si="0"/>
        <v>0</v>
      </c>
      <c r="G17" s="8">
        <f t="shared" si="1"/>
        <v>0</v>
      </c>
      <c r="H17" s="7"/>
      <c r="I17" s="10"/>
      <c r="J17" s="9">
        <f t="shared" si="2"/>
        <v>0</v>
      </c>
      <c r="K17" s="8">
        <f t="shared" si="3"/>
        <v>0</v>
      </c>
      <c r="L17" s="7"/>
      <c r="M17" s="10"/>
      <c r="N17" s="9">
        <f t="shared" si="4"/>
        <v>0</v>
      </c>
      <c r="O17" s="8">
        <f t="shared" si="5"/>
        <v>0</v>
      </c>
      <c r="P17" s="7"/>
      <c r="Q17" s="10"/>
      <c r="R17" s="9">
        <f t="shared" si="6"/>
        <v>0</v>
      </c>
      <c r="S17" s="8">
        <f t="shared" si="7"/>
        <v>0</v>
      </c>
      <c r="T17" s="7"/>
      <c r="U17" s="10"/>
      <c r="V17" s="9">
        <f t="shared" si="8"/>
        <v>0</v>
      </c>
      <c r="W17" s="8">
        <f t="shared" si="9"/>
        <v>0</v>
      </c>
      <c r="X17" s="7"/>
      <c r="Y17" s="10"/>
      <c r="Z17" s="9">
        <f t="shared" si="10"/>
        <v>0</v>
      </c>
      <c r="AA17" s="8">
        <f t="shared" si="11"/>
        <v>0</v>
      </c>
      <c r="AB17" s="7"/>
      <c r="AC17" s="10"/>
      <c r="AD17" s="9">
        <f t="shared" si="12"/>
        <v>0</v>
      </c>
      <c r="AE17" s="8">
        <f t="shared" si="13"/>
        <v>0</v>
      </c>
      <c r="AF17" s="7"/>
      <c r="AG17" s="10"/>
      <c r="AH17" s="9">
        <f t="shared" si="14"/>
        <v>0</v>
      </c>
      <c r="AI17" s="8">
        <f t="shared" si="15"/>
        <v>0</v>
      </c>
      <c r="AJ17" s="7"/>
      <c r="AK17" s="10"/>
      <c r="AL17" s="9">
        <f t="shared" si="16"/>
        <v>0</v>
      </c>
      <c r="AM17" s="8">
        <f t="shared" si="17"/>
        <v>0</v>
      </c>
      <c r="AN17" s="7"/>
      <c r="AO17" s="10"/>
      <c r="AP17" s="9">
        <f t="shared" si="18"/>
        <v>0</v>
      </c>
      <c r="AQ17" s="8">
        <f t="shared" si="19"/>
        <v>0</v>
      </c>
      <c r="AR17" s="7"/>
      <c r="AS17" s="10"/>
      <c r="AT17" s="9">
        <f t="shared" si="20"/>
        <v>0</v>
      </c>
      <c r="AU17" s="8">
        <f t="shared" si="21"/>
        <v>0</v>
      </c>
      <c r="AV17" s="7"/>
      <c r="AW17" s="10"/>
      <c r="AX17" s="9">
        <f t="shared" si="22"/>
        <v>0</v>
      </c>
      <c r="AY17" s="8">
        <f t="shared" si="23"/>
        <v>0</v>
      </c>
      <c r="AZ17" s="7"/>
      <c r="BA17" s="10"/>
      <c r="BB17" s="9">
        <f t="shared" si="24"/>
        <v>0</v>
      </c>
      <c r="BC17" s="8">
        <f t="shared" si="25"/>
        <v>0</v>
      </c>
      <c r="BD17" s="7"/>
      <c r="BE17" s="10"/>
      <c r="BF17" s="9">
        <f t="shared" si="26"/>
        <v>0</v>
      </c>
      <c r="BG17" s="8">
        <f t="shared" si="27"/>
        <v>0</v>
      </c>
      <c r="BH17" s="7"/>
      <c r="BI17" s="10"/>
      <c r="BJ17" s="9">
        <f t="shared" si="28"/>
        <v>0</v>
      </c>
      <c r="BK17" s="8">
        <f t="shared" si="29"/>
        <v>0</v>
      </c>
      <c r="BL17" s="7"/>
      <c r="BM17" s="10"/>
      <c r="BN17" s="9">
        <f t="shared" si="30"/>
        <v>0</v>
      </c>
      <c r="BO17" s="8">
        <f t="shared" si="31"/>
        <v>0</v>
      </c>
      <c r="BP17" s="7"/>
      <c r="BQ17" s="10"/>
      <c r="BR17" s="9">
        <f t="shared" si="32"/>
        <v>0</v>
      </c>
      <c r="BS17" s="8">
        <f t="shared" si="33"/>
        <v>0</v>
      </c>
      <c r="BT17" s="7"/>
      <c r="BU17" s="10"/>
      <c r="BV17" s="9">
        <f t="shared" si="34"/>
        <v>0</v>
      </c>
      <c r="BW17" s="8">
        <f t="shared" si="35"/>
        <v>0</v>
      </c>
      <c r="BX17" s="7"/>
      <c r="BY17" s="10"/>
      <c r="BZ17" s="9">
        <f t="shared" si="36"/>
        <v>0</v>
      </c>
      <c r="CA17" s="8">
        <f t="shared" si="37"/>
        <v>0</v>
      </c>
      <c r="CB17" s="114"/>
      <c r="CC17" s="10"/>
      <c r="CD17" s="9">
        <f t="shared" si="38"/>
        <v>0</v>
      </c>
      <c r="CE17" s="8">
        <f t="shared" si="39"/>
        <v>0</v>
      </c>
      <c r="CF17" s="7"/>
      <c r="CG17" s="10"/>
      <c r="CH17" s="9">
        <f t="shared" si="40"/>
        <v>0</v>
      </c>
      <c r="CI17" s="8">
        <f t="shared" si="41"/>
        <v>0</v>
      </c>
      <c r="CJ17" s="7"/>
      <c r="CK17" s="10"/>
      <c r="CL17" s="9">
        <f t="shared" si="42"/>
        <v>0</v>
      </c>
      <c r="CM17" s="8">
        <f t="shared" si="43"/>
        <v>0</v>
      </c>
      <c r="CN17" s="7"/>
      <c r="CO17" s="10"/>
      <c r="CP17" s="9">
        <f t="shared" si="44"/>
        <v>0</v>
      </c>
      <c r="CQ17" s="8">
        <f t="shared" si="45"/>
        <v>0</v>
      </c>
      <c r="CR17" s="7"/>
      <c r="CS17" s="10"/>
      <c r="CT17" s="9">
        <f t="shared" si="46"/>
        <v>0</v>
      </c>
      <c r="CU17" s="8">
        <f t="shared" si="47"/>
        <v>0</v>
      </c>
      <c r="CV17" s="7"/>
      <c r="CW17" s="10"/>
      <c r="CX17" s="9">
        <f t="shared" si="48"/>
        <v>0</v>
      </c>
      <c r="CY17" s="8">
        <f t="shared" si="49"/>
        <v>0</v>
      </c>
      <c r="CZ17" s="7"/>
      <c r="DA17" s="10"/>
      <c r="DB17" s="9">
        <f t="shared" si="50"/>
        <v>0</v>
      </c>
      <c r="DC17" s="8">
        <f t="shared" si="51"/>
        <v>0</v>
      </c>
      <c r="DD17" s="7"/>
      <c r="DE17" s="10"/>
      <c r="DF17" s="9">
        <f t="shared" si="52"/>
        <v>0</v>
      </c>
      <c r="DG17" s="8">
        <f t="shared" si="53"/>
        <v>0</v>
      </c>
      <c r="DH17" s="7"/>
      <c r="DI17" s="10"/>
      <c r="DJ17" s="9">
        <f t="shared" si="54"/>
        <v>0</v>
      </c>
      <c r="DK17" s="8">
        <f t="shared" si="55"/>
        <v>0</v>
      </c>
    </row>
    <row r="18" spans="1:115" ht="16" customHeight="1" thickBot="1">
      <c r="A18" s="134" t="s">
        <v>61</v>
      </c>
      <c r="B18" s="133" t="s">
        <v>137</v>
      </c>
      <c r="C18" s="124" t="s">
        <v>137</v>
      </c>
      <c r="D18" s="122"/>
      <c r="E18" s="10"/>
      <c r="F18" s="9">
        <f t="shared" si="0"/>
        <v>0</v>
      </c>
      <c r="G18" s="8">
        <f t="shared" si="1"/>
        <v>0</v>
      </c>
      <c r="H18" s="7"/>
      <c r="I18" s="10"/>
      <c r="J18" s="9">
        <f t="shared" si="2"/>
        <v>0</v>
      </c>
      <c r="K18" s="8">
        <f t="shared" si="3"/>
        <v>0</v>
      </c>
      <c r="L18" s="10"/>
      <c r="M18" s="10"/>
      <c r="N18" s="9">
        <f t="shared" si="4"/>
        <v>0</v>
      </c>
      <c r="O18" s="8">
        <f t="shared" si="5"/>
        <v>0</v>
      </c>
      <c r="P18" s="7"/>
      <c r="Q18" s="10"/>
      <c r="R18" s="9">
        <f t="shared" si="6"/>
        <v>0</v>
      </c>
      <c r="S18" s="8">
        <f t="shared" si="7"/>
        <v>0</v>
      </c>
      <c r="T18" s="7"/>
      <c r="U18" s="10"/>
      <c r="V18" s="9">
        <f t="shared" si="8"/>
        <v>0</v>
      </c>
      <c r="W18" s="8">
        <f t="shared" si="9"/>
        <v>0</v>
      </c>
      <c r="X18" s="7"/>
      <c r="Y18" s="10"/>
      <c r="Z18" s="9">
        <f t="shared" si="10"/>
        <v>0</v>
      </c>
      <c r="AA18" s="8">
        <f t="shared" si="11"/>
        <v>0</v>
      </c>
      <c r="AB18" s="7"/>
      <c r="AC18" s="10"/>
      <c r="AD18" s="9">
        <f t="shared" si="12"/>
        <v>0</v>
      </c>
      <c r="AE18" s="8">
        <f t="shared" si="13"/>
        <v>0</v>
      </c>
      <c r="AF18" s="7"/>
      <c r="AG18" s="10"/>
      <c r="AH18" s="9">
        <f t="shared" si="14"/>
        <v>0</v>
      </c>
      <c r="AI18" s="8">
        <f t="shared" si="15"/>
        <v>0</v>
      </c>
      <c r="AJ18" s="7"/>
      <c r="AK18" s="10"/>
      <c r="AL18" s="9">
        <f t="shared" si="16"/>
        <v>0</v>
      </c>
      <c r="AM18" s="8">
        <f t="shared" si="17"/>
        <v>0</v>
      </c>
      <c r="AN18" s="7"/>
      <c r="AO18" s="10"/>
      <c r="AP18" s="9">
        <f t="shared" si="18"/>
        <v>0</v>
      </c>
      <c r="AQ18" s="8">
        <f t="shared" si="19"/>
        <v>0</v>
      </c>
      <c r="AR18" s="7"/>
      <c r="AS18" s="10"/>
      <c r="AT18" s="9">
        <f t="shared" si="20"/>
        <v>0</v>
      </c>
      <c r="AU18" s="8">
        <f t="shared" si="21"/>
        <v>0</v>
      </c>
      <c r="AV18" s="7"/>
      <c r="AW18" s="10"/>
      <c r="AX18" s="9">
        <f t="shared" si="22"/>
        <v>0</v>
      </c>
      <c r="AY18" s="8">
        <f t="shared" si="23"/>
        <v>0</v>
      </c>
      <c r="AZ18" s="7"/>
      <c r="BA18" s="10"/>
      <c r="BB18" s="9">
        <f t="shared" si="24"/>
        <v>0</v>
      </c>
      <c r="BC18" s="8">
        <f t="shared" si="25"/>
        <v>0</v>
      </c>
      <c r="BD18" s="7"/>
      <c r="BE18" s="10"/>
      <c r="BF18" s="9">
        <f t="shared" si="26"/>
        <v>0</v>
      </c>
      <c r="BG18" s="8">
        <f t="shared" si="27"/>
        <v>0</v>
      </c>
      <c r="BH18" s="7"/>
      <c r="BI18" s="10"/>
      <c r="BJ18" s="9">
        <f t="shared" si="28"/>
        <v>0</v>
      </c>
      <c r="BK18" s="8">
        <f t="shared" si="29"/>
        <v>0</v>
      </c>
      <c r="BL18" s="7"/>
      <c r="BM18" s="10"/>
      <c r="BN18" s="9">
        <f t="shared" si="30"/>
        <v>0</v>
      </c>
      <c r="BO18" s="8">
        <f t="shared" si="31"/>
        <v>0</v>
      </c>
      <c r="BP18" s="7"/>
      <c r="BQ18" s="10"/>
      <c r="BR18" s="9">
        <f t="shared" si="32"/>
        <v>0</v>
      </c>
      <c r="BS18" s="8">
        <f t="shared" si="33"/>
        <v>0</v>
      </c>
      <c r="BT18" s="7"/>
      <c r="BU18" s="10"/>
      <c r="BV18" s="9">
        <f t="shared" si="34"/>
        <v>0</v>
      </c>
      <c r="BW18" s="8">
        <f t="shared" si="35"/>
        <v>0</v>
      </c>
      <c r="BX18" s="7"/>
      <c r="BY18" s="10"/>
      <c r="BZ18" s="9">
        <f t="shared" si="36"/>
        <v>0</v>
      </c>
      <c r="CA18" s="8">
        <f t="shared" si="37"/>
        <v>0</v>
      </c>
      <c r="CB18" s="7"/>
      <c r="CC18" s="10"/>
      <c r="CD18" s="9">
        <f t="shared" si="38"/>
        <v>0</v>
      </c>
      <c r="CE18" s="8">
        <f t="shared" si="39"/>
        <v>0</v>
      </c>
      <c r="CF18" s="7"/>
      <c r="CG18" s="10"/>
      <c r="CH18" s="9">
        <f t="shared" si="40"/>
        <v>0</v>
      </c>
      <c r="CI18" s="8">
        <f t="shared" si="41"/>
        <v>0</v>
      </c>
      <c r="CJ18" s="7"/>
      <c r="CK18" s="10"/>
      <c r="CL18" s="9">
        <f t="shared" si="42"/>
        <v>0</v>
      </c>
      <c r="CM18" s="8">
        <f t="shared" si="43"/>
        <v>0</v>
      </c>
      <c r="CN18" s="7"/>
      <c r="CO18" s="10"/>
      <c r="CP18" s="9">
        <f t="shared" si="44"/>
        <v>0</v>
      </c>
      <c r="CQ18" s="8">
        <f t="shared" si="45"/>
        <v>0</v>
      </c>
      <c r="CR18" s="7"/>
      <c r="CS18" s="10"/>
      <c r="CT18" s="9">
        <f t="shared" si="46"/>
        <v>0</v>
      </c>
      <c r="CU18" s="8">
        <f t="shared" si="47"/>
        <v>0</v>
      </c>
      <c r="CV18" s="7"/>
      <c r="CW18" s="10"/>
      <c r="CX18" s="9">
        <f t="shared" si="48"/>
        <v>0</v>
      </c>
      <c r="CY18" s="8">
        <f t="shared" si="49"/>
        <v>0</v>
      </c>
      <c r="CZ18" s="7"/>
      <c r="DA18" s="10"/>
      <c r="DB18" s="9">
        <f t="shared" si="50"/>
        <v>0</v>
      </c>
      <c r="DC18" s="8">
        <f t="shared" si="51"/>
        <v>0</v>
      </c>
      <c r="DD18" s="7"/>
      <c r="DE18" s="10"/>
      <c r="DF18" s="9">
        <f t="shared" si="52"/>
        <v>0</v>
      </c>
      <c r="DG18" s="8">
        <f t="shared" si="53"/>
        <v>0</v>
      </c>
      <c r="DH18" s="7"/>
      <c r="DI18" s="10"/>
      <c r="DJ18" s="9">
        <f t="shared" si="54"/>
        <v>0</v>
      </c>
      <c r="DK18" s="8">
        <f t="shared" si="55"/>
        <v>0</v>
      </c>
    </row>
    <row r="19" spans="1:115" ht="16" customHeight="1" thickBot="1">
      <c r="A19" s="134" t="s">
        <v>62</v>
      </c>
      <c r="B19" s="133" t="s">
        <v>137</v>
      </c>
      <c r="C19" s="124" t="s">
        <v>137</v>
      </c>
      <c r="D19" s="122"/>
      <c r="E19" s="10"/>
      <c r="F19" s="9">
        <f t="shared" si="0"/>
        <v>0</v>
      </c>
      <c r="G19" s="8">
        <f t="shared" si="1"/>
        <v>0</v>
      </c>
      <c r="H19" s="7"/>
      <c r="I19" s="10"/>
      <c r="J19" s="9">
        <f t="shared" si="2"/>
        <v>0</v>
      </c>
      <c r="K19" s="8">
        <f t="shared" si="3"/>
        <v>0</v>
      </c>
      <c r="L19" s="10"/>
      <c r="M19" s="10"/>
      <c r="N19" s="9">
        <f t="shared" si="4"/>
        <v>0</v>
      </c>
      <c r="O19" s="8">
        <f t="shared" si="5"/>
        <v>0</v>
      </c>
      <c r="P19" s="7"/>
      <c r="Q19" s="10"/>
      <c r="R19" s="9">
        <f t="shared" si="6"/>
        <v>0</v>
      </c>
      <c r="S19" s="8">
        <f t="shared" si="7"/>
        <v>0</v>
      </c>
      <c r="T19" s="7"/>
      <c r="U19" s="10"/>
      <c r="V19" s="9">
        <f t="shared" si="8"/>
        <v>0</v>
      </c>
      <c r="W19" s="8">
        <f t="shared" si="9"/>
        <v>0</v>
      </c>
      <c r="X19" s="7"/>
      <c r="Y19" s="10"/>
      <c r="Z19" s="9">
        <f t="shared" si="10"/>
        <v>0</v>
      </c>
      <c r="AA19" s="8">
        <f t="shared" si="11"/>
        <v>0</v>
      </c>
      <c r="AB19" s="7"/>
      <c r="AC19" s="10"/>
      <c r="AD19" s="9">
        <f t="shared" si="12"/>
        <v>0</v>
      </c>
      <c r="AE19" s="8">
        <f t="shared" si="13"/>
        <v>0</v>
      </c>
      <c r="AF19" s="7"/>
      <c r="AG19" s="10"/>
      <c r="AH19" s="9">
        <f t="shared" si="14"/>
        <v>0</v>
      </c>
      <c r="AI19" s="8">
        <f t="shared" si="15"/>
        <v>0</v>
      </c>
      <c r="AJ19" s="7"/>
      <c r="AK19" s="10"/>
      <c r="AL19" s="9">
        <f t="shared" si="16"/>
        <v>0</v>
      </c>
      <c r="AM19" s="8">
        <f t="shared" si="17"/>
        <v>0</v>
      </c>
      <c r="AN19" s="7"/>
      <c r="AO19" s="10"/>
      <c r="AP19" s="9">
        <f t="shared" si="18"/>
        <v>0</v>
      </c>
      <c r="AQ19" s="8">
        <f t="shared" si="19"/>
        <v>0</v>
      </c>
      <c r="AR19" s="7"/>
      <c r="AS19" s="10"/>
      <c r="AT19" s="9">
        <f t="shared" si="20"/>
        <v>0</v>
      </c>
      <c r="AU19" s="8">
        <f t="shared" si="21"/>
        <v>0</v>
      </c>
      <c r="AV19" s="7"/>
      <c r="AW19" s="10"/>
      <c r="AX19" s="9">
        <f t="shared" si="22"/>
        <v>0</v>
      </c>
      <c r="AY19" s="8">
        <f t="shared" si="23"/>
        <v>0</v>
      </c>
      <c r="AZ19" s="7"/>
      <c r="BA19" s="10"/>
      <c r="BB19" s="9">
        <f t="shared" si="24"/>
        <v>0</v>
      </c>
      <c r="BC19" s="8">
        <f t="shared" si="25"/>
        <v>0</v>
      </c>
      <c r="BD19" s="7"/>
      <c r="BE19" s="10"/>
      <c r="BF19" s="9">
        <f t="shared" si="26"/>
        <v>0</v>
      </c>
      <c r="BG19" s="8">
        <f t="shared" si="27"/>
        <v>0</v>
      </c>
      <c r="BH19" s="7"/>
      <c r="BI19" s="10"/>
      <c r="BJ19" s="9">
        <f t="shared" si="28"/>
        <v>0</v>
      </c>
      <c r="BK19" s="8">
        <f t="shared" si="29"/>
        <v>0</v>
      </c>
      <c r="BL19" s="7"/>
      <c r="BM19" s="10"/>
      <c r="BN19" s="9">
        <f t="shared" si="30"/>
        <v>0</v>
      </c>
      <c r="BO19" s="8">
        <f t="shared" si="31"/>
        <v>0</v>
      </c>
      <c r="BP19" s="7"/>
      <c r="BQ19" s="10"/>
      <c r="BR19" s="9">
        <f t="shared" si="32"/>
        <v>0</v>
      </c>
      <c r="BS19" s="8">
        <f t="shared" si="33"/>
        <v>0</v>
      </c>
      <c r="BT19" s="7"/>
      <c r="BU19" s="10"/>
      <c r="BV19" s="9">
        <f t="shared" si="34"/>
        <v>0</v>
      </c>
      <c r="BW19" s="8">
        <f t="shared" si="35"/>
        <v>0</v>
      </c>
      <c r="BX19" s="7"/>
      <c r="BY19" s="10"/>
      <c r="BZ19" s="9">
        <f t="shared" si="36"/>
        <v>0</v>
      </c>
      <c r="CA19" s="8">
        <f t="shared" si="37"/>
        <v>0</v>
      </c>
      <c r="CB19" s="7"/>
      <c r="CC19" s="10"/>
      <c r="CD19" s="9">
        <f t="shared" si="38"/>
        <v>0</v>
      </c>
      <c r="CE19" s="8">
        <f t="shared" si="39"/>
        <v>0</v>
      </c>
      <c r="CF19" s="7"/>
      <c r="CG19" s="10"/>
      <c r="CH19" s="9">
        <f t="shared" si="40"/>
        <v>0</v>
      </c>
      <c r="CI19" s="8">
        <f t="shared" si="41"/>
        <v>0</v>
      </c>
      <c r="CJ19" s="7"/>
      <c r="CK19" s="10"/>
      <c r="CL19" s="9">
        <f t="shared" si="42"/>
        <v>0</v>
      </c>
      <c r="CM19" s="8">
        <f t="shared" si="43"/>
        <v>0</v>
      </c>
      <c r="CN19" s="7"/>
      <c r="CO19" s="10"/>
      <c r="CP19" s="9">
        <f t="shared" si="44"/>
        <v>0</v>
      </c>
      <c r="CQ19" s="8">
        <f t="shared" si="45"/>
        <v>0</v>
      </c>
      <c r="CR19" s="7"/>
      <c r="CS19" s="10"/>
      <c r="CT19" s="9">
        <f t="shared" si="46"/>
        <v>0</v>
      </c>
      <c r="CU19" s="8">
        <f t="shared" si="47"/>
        <v>0</v>
      </c>
      <c r="CV19" s="7"/>
      <c r="CW19" s="10"/>
      <c r="CX19" s="9">
        <f t="shared" si="48"/>
        <v>0</v>
      </c>
      <c r="CY19" s="8">
        <f t="shared" si="49"/>
        <v>0</v>
      </c>
      <c r="CZ19" s="7"/>
      <c r="DA19" s="10"/>
      <c r="DB19" s="9">
        <f t="shared" si="50"/>
        <v>0</v>
      </c>
      <c r="DC19" s="8">
        <f t="shared" si="51"/>
        <v>0</v>
      </c>
      <c r="DD19" s="7"/>
      <c r="DE19" s="10"/>
      <c r="DF19" s="9">
        <f t="shared" si="52"/>
        <v>0</v>
      </c>
      <c r="DG19" s="8">
        <f t="shared" si="53"/>
        <v>0</v>
      </c>
      <c r="DH19" s="7"/>
      <c r="DI19" s="10"/>
      <c r="DJ19" s="9">
        <f t="shared" si="54"/>
        <v>0</v>
      </c>
      <c r="DK19" s="8">
        <f t="shared" si="55"/>
        <v>0</v>
      </c>
    </row>
    <row r="20" spans="1:115" ht="16" customHeight="1" thickBot="1">
      <c r="A20" s="134" t="s">
        <v>63</v>
      </c>
      <c r="B20" s="133" t="s">
        <v>137</v>
      </c>
      <c r="C20" s="124" t="s">
        <v>137</v>
      </c>
      <c r="D20" s="122"/>
      <c r="E20" s="10"/>
      <c r="F20" s="9">
        <f t="shared" si="0"/>
        <v>0</v>
      </c>
      <c r="G20" s="8">
        <f t="shared" si="1"/>
        <v>0</v>
      </c>
      <c r="H20" s="7"/>
      <c r="I20" s="10"/>
      <c r="J20" s="9">
        <f t="shared" si="2"/>
        <v>0</v>
      </c>
      <c r="K20" s="8">
        <f t="shared" si="3"/>
        <v>0</v>
      </c>
      <c r="L20" s="7"/>
      <c r="M20" s="10"/>
      <c r="N20" s="9">
        <f t="shared" si="4"/>
        <v>0</v>
      </c>
      <c r="O20" s="8">
        <f t="shared" si="5"/>
        <v>0</v>
      </c>
      <c r="P20" s="7"/>
      <c r="Q20" s="10"/>
      <c r="R20" s="9">
        <f t="shared" si="6"/>
        <v>0</v>
      </c>
      <c r="S20" s="8">
        <f t="shared" si="7"/>
        <v>0</v>
      </c>
      <c r="T20" s="7"/>
      <c r="U20" s="10"/>
      <c r="V20" s="9">
        <f t="shared" si="8"/>
        <v>0</v>
      </c>
      <c r="W20" s="8">
        <f t="shared" si="9"/>
        <v>0</v>
      </c>
      <c r="X20" s="7"/>
      <c r="Y20" s="10"/>
      <c r="Z20" s="9">
        <f t="shared" si="10"/>
        <v>0</v>
      </c>
      <c r="AA20" s="8">
        <f t="shared" si="11"/>
        <v>0</v>
      </c>
      <c r="AB20" s="7"/>
      <c r="AC20" s="10"/>
      <c r="AD20" s="9">
        <f t="shared" si="12"/>
        <v>0</v>
      </c>
      <c r="AE20" s="8">
        <f t="shared" si="13"/>
        <v>0</v>
      </c>
      <c r="AF20" s="7"/>
      <c r="AG20" s="10"/>
      <c r="AH20" s="9">
        <f t="shared" si="14"/>
        <v>0</v>
      </c>
      <c r="AI20" s="8">
        <f t="shared" si="15"/>
        <v>0</v>
      </c>
      <c r="AJ20" s="7"/>
      <c r="AK20" s="10"/>
      <c r="AL20" s="9">
        <f t="shared" si="16"/>
        <v>0</v>
      </c>
      <c r="AM20" s="8">
        <f t="shared" si="17"/>
        <v>0</v>
      </c>
      <c r="AN20" s="7"/>
      <c r="AO20" s="10"/>
      <c r="AP20" s="9">
        <f t="shared" si="18"/>
        <v>0</v>
      </c>
      <c r="AQ20" s="8">
        <f t="shared" si="19"/>
        <v>0</v>
      </c>
      <c r="AR20" s="7"/>
      <c r="AS20" s="10"/>
      <c r="AT20" s="9">
        <f t="shared" si="20"/>
        <v>0</v>
      </c>
      <c r="AU20" s="8">
        <f t="shared" si="21"/>
        <v>0</v>
      </c>
      <c r="AV20" s="7"/>
      <c r="AW20" s="10"/>
      <c r="AX20" s="9">
        <f t="shared" si="22"/>
        <v>0</v>
      </c>
      <c r="AY20" s="8">
        <f t="shared" si="23"/>
        <v>0</v>
      </c>
      <c r="AZ20" s="7"/>
      <c r="BA20" s="10"/>
      <c r="BB20" s="9">
        <f t="shared" si="24"/>
        <v>0</v>
      </c>
      <c r="BC20" s="8">
        <f t="shared" si="25"/>
        <v>0</v>
      </c>
      <c r="BD20" s="7"/>
      <c r="BE20" s="10"/>
      <c r="BF20" s="9">
        <f t="shared" si="26"/>
        <v>0</v>
      </c>
      <c r="BG20" s="8">
        <f t="shared" si="27"/>
        <v>0</v>
      </c>
      <c r="BH20" s="7"/>
      <c r="BI20" s="10"/>
      <c r="BJ20" s="9">
        <f t="shared" si="28"/>
        <v>0</v>
      </c>
      <c r="BK20" s="8">
        <f t="shared" si="29"/>
        <v>0</v>
      </c>
      <c r="BL20" s="7"/>
      <c r="BM20" s="10"/>
      <c r="BN20" s="9">
        <f t="shared" si="30"/>
        <v>0</v>
      </c>
      <c r="BO20" s="8">
        <f t="shared" si="31"/>
        <v>0</v>
      </c>
      <c r="BP20" s="7"/>
      <c r="BQ20" s="10"/>
      <c r="BR20" s="9">
        <f t="shared" si="32"/>
        <v>0</v>
      </c>
      <c r="BS20" s="8">
        <f t="shared" si="33"/>
        <v>0</v>
      </c>
      <c r="BT20" s="7"/>
      <c r="BU20" s="10"/>
      <c r="BV20" s="9">
        <f t="shared" si="34"/>
        <v>0</v>
      </c>
      <c r="BW20" s="8">
        <f t="shared" si="35"/>
        <v>0</v>
      </c>
      <c r="BX20" s="7"/>
      <c r="BY20" s="10"/>
      <c r="BZ20" s="9">
        <f t="shared" si="36"/>
        <v>0</v>
      </c>
      <c r="CA20" s="8">
        <f t="shared" si="37"/>
        <v>0</v>
      </c>
      <c r="CB20" s="114"/>
      <c r="CC20" s="10"/>
      <c r="CD20" s="9">
        <f t="shared" si="38"/>
        <v>0</v>
      </c>
      <c r="CE20" s="8">
        <f t="shared" si="39"/>
        <v>0</v>
      </c>
      <c r="CF20" s="7"/>
      <c r="CG20" s="10"/>
      <c r="CH20" s="9">
        <f t="shared" si="40"/>
        <v>0</v>
      </c>
      <c r="CI20" s="8">
        <f t="shared" si="41"/>
        <v>0</v>
      </c>
      <c r="CJ20" s="7"/>
      <c r="CK20" s="10"/>
      <c r="CL20" s="9">
        <f t="shared" si="42"/>
        <v>0</v>
      </c>
      <c r="CM20" s="8">
        <f t="shared" si="43"/>
        <v>0</v>
      </c>
      <c r="CN20" s="7"/>
      <c r="CO20" s="10"/>
      <c r="CP20" s="9">
        <f t="shared" si="44"/>
        <v>0</v>
      </c>
      <c r="CQ20" s="8">
        <f t="shared" si="45"/>
        <v>0</v>
      </c>
      <c r="CR20" s="7"/>
      <c r="CS20" s="10"/>
      <c r="CT20" s="9">
        <f t="shared" si="46"/>
        <v>0</v>
      </c>
      <c r="CU20" s="8">
        <f t="shared" si="47"/>
        <v>0</v>
      </c>
      <c r="CV20" s="7"/>
      <c r="CW20" s="10"/>
      <c r="CX20" s="9">
        <f t="shared" si="48"/>
        <v>0</v>
      </c>
      <c r="CY20" s="8">
        <f t="shared" si="49"/>
        <v>0</v>
      </c>
      <c r="CZ20" s="7"/>
      <c r="DA20" s="10"/>
      <c r="DB20" s="9">
        <f t="shared" si="50"/>
        <v>0</v>
      </c>
      <c r="DC20" s="8">
        <f t="shared" si="51"/>
        <v>0</v>
      </c>
      <c r="DD20" s="7"/>
      <c r="DE20" s="10"/>
      <c r="DF20" s="9">
        <f t="shared" si="52"/>
        <v>0</v>
      </c>
      <c r="DG20" s="8">
        <f t="shared" si="53"/>
        <v>0</v>
      </c>
      <c r="DH20" s="7"/>
      <c r="DI20" s="10"/>
      <c r="DJ20" s="9">
        <f t="shared" si="54"/>
        <v>0</v>
      </c>
      <c r="DK20" s="8">
        <f t="shared" si="55"/>
        <v>0</v>
      </c>
    </row>
    <row r="21" spans="1:115" ht="16" customHeight="1" thickBot="1">
      <c r="A21" s="134" t="s">
        <v>64</v>
      </c>
      <c r="B21" s="133" t="s">
        <v>137</v>
      </c>
      <c r="C21" s="124" t="s">
        <v>137</v>
      </c>
      <c r="D21" s="122"/>
      <c r="E21" s="10"/>
      <c r="F21" s="9">
        <f t="shared" si="0"/>
        <v>0</v>
      </c>
      <c r="G21" s="8">
        <f t="shared" si="1"/>
        <v>0</v>
      </c>
      <c r="H21" s="7"/>
      <c r="I21" s="10"/>
      <c r="J21" s="9">
        <f t="shared" si="2"/>
        <v>0</v>
      </c>
      <c r="K21" s="8">
        <f t="shared" si="3"/>
        <v>0</v>
      </c>
      <c r="L21" s="10"/>
      <c r="M21" s="10"/>
      <c r="N21" s="9">
        <f t="shared" si="4"/>
        <v>0</v>
      </c>
      <c r="O21" s="8">
        <f t="shared" si="5"/>
        <v>0</v>
      </c>
      <c r="P21" s="7"/>
      <c r="Q21" s="10"/>
      <c r="R21" s="9">
        <f t="shared" si="6"/>
        <v>0</v>
      </c>
      <c r="S21" s="8">
        <f t="shared" si="7"/>
        <v>0</v>
      </c>
      <c r="T21" s="7"/>
      <c r="U21" s="10"/>
      <c r="V21" s="9">
        <f t="shared" si="8"/>
        <v>0</v>
      </c>
      <c r="W21" s="8">
        <f t="shared" si="9"/>
        <v>0</v>
      </c>
      <c r="X21" s="7"/>
      <c r="Y21" s="10"/>
      <c r="Z21" s="9">
        <f t="shared" si="10"/>
        <v>0</v>
      </c>
      <c r="AA21" s="8">
        <f t="shared" si="11"/>
        <v>0</v>
      </c>
      <c r="AB21" s="7"/>
      <c r="AC21" s="10"/>
      <c r="AD21" s="9">
        <f t="shared" si="12"/>
        <v>0</v>
      </c>
      <c r="AE21" s="8">
        <f t="shared" si="13"/>
        <v>0</v>
      </c>
      <c r="AF21" s="7"/>
      <c r="AG21" s="10"/>
      <c r="AH21" s="9">
        <f t="shared" si="14"/>
        <v>0</v>
      </c>
      <c r="AI21" s="8">
        <f t="shared" si="15"/>
        <v>0</v>
      </c>
      <c r="AJ21" s="7"/>
      <c r="AK21" s="10"/>
      <c r="AL21" s="9">
        <f t="shared" si="16"/>
        <v>0</v>
      </c>
      <c r="AM21" s="8">
        <f t="shared" si="17"/>
        <v>0</v>
      </c>
      <c r="AN21" s="7"/>
      <c r="AO21" s="10"/>
      <c r="AP21" s="9">
        <f t="shared" si="18"/>
        <v>0</v>
      </c>
      <c r="AQ21" s="8">
        <f t="shared" si="19"/>
        <v>0</v>
      </c>
      <c r="AR21" s="7"/>
      <c r="AS21" s="10"/>
      <c r="AT21" s="9">
        <f t="shared" si="20"/>
        <v>0</v>
      </c>
      <c r="AU21" s="8">
        <f t="shared" si="21"/>
        <v>0</v>
      </c>
      <c r="AV21" s="7"/>
      <c r="AW21" s="10"/>
      <c r="AX21" s="9">
        <f t="shared" si="22"/>
        <v>0</v>
      </c>
      <c r="AY21" s="8">
        <f t="shared" si="23"/>
        <v>0</v>
      </c>
      <c r="AZ21" s="7"/>
      <c r="BA21" s="10"/>
      <c r="BB21" s="9">
        <f t="shared" si="24"/>
        <v>0</v>
      </c>
      <c r="BC21" s="8">
        <f t="shared" si="25"/>
        <v>0</v>
      </c>
      <c r="BD21" s="7"/>
      <c r="BE21" s="10"/>
      <c r="BF21" s="9">
        <f t="shared" si="26"/>
        <v>0</v>
      </c>
      <c r="BG21" s="8">
        <f t="shared" si="27"/>
        <v>0</v>
      </c>
      <c r="BH21" s="7"/>
      <c r="BI21" s="10"/>
      <c r="BJ21" s="9">
        <f t="shared" si="28"/>
        <v>0</v>
      </c>
      <c r="BK21" s="8">
        <f t="shared" si="29"/>
        <v>0</v>
      </c>
      <c r="BL21" s="7"/>
      <c r="BM21" s="10"/>
      <c r="BN21" s="9">
        <f t="shared" si="30"/>
        <v>0</v>
      </c>
      <c r="BO21" s="8">
        <f t="shared" si="31"/>
        <v>0</v>
      </c>
      <c r="BP21" s="7"/>
      <c r="BQ21" s="10"/>
      <c r="BR21" s="9">
        <f t="shared" si="32"/>
        <v>0</v>
      </c>
      <c r="BS21" s="8">
        <f t="shared" si="33"/>
        <v>0</v>
      </c>
      <c r="BT21" s="7"/>
      <c r="BU21" s="10"/>
      <c r="BV21" s="9">
        <f t="shared" si="34"/>
        <v>0</v>
      </c>
      <c r="BW21" s="8">
        <f t="shared" si="35"/>
        <v>0</v>
      </c>
      <c r="BX21" s="7"/>
      <c r="BY21" s="10"/>
      <c r="BZ21" s="9">
        <f t="shared" si="36"/>
        <v>0</v>
      </c>
      <c r="CA21" s="8">
        <f t="shared" si="37"/>
        <v>0</v>
      </c>
      <c r="CB21" s="114"/>
      <c r="CC21" s="10"/>
      <c r="CD21" s="9">
        <f t="shared" si="38"/>
        <v>0</v>
      </c>
      <c r="CE21" s="8">
        <f t="shared" si="39"/>
        <v>0</v>
      </c>
      <c r="CF21" s="7"/>
      <c r="CG21" s="10"/>
      <c r="CH21" s="9">
        <f t="shared" si="40"/>
        <v>0</v>
      </c>
      <c r="CI21" s="8">
        <f t="shared" si="41"/>
        <v>0</v>
      </c>
      <c r="CJ21" s="7"/>
      <c r="CK21" s="10"/>
      <c r="CL21" s="9">
        <f t="shared" si="42"/>
        <v>0</v>
      </c>
      <c r="CM21" s="8">
        <f t="shared" si="43"/>
        <v>0</v>
      </c>
      <c r="CN21" s="7"/>
      <c r="CO21" s="10"/>
      <c r="CP21" s="9">
        <f t="shared" si="44"/>
        <v>0</v>
      </c>
      <c r="CQ21" s="8">
        <f t="shared" si="45"/>
        <v>0</v>
      </c>
      <c r="CR21" s="7"/>
      <c r="CS21" s="10"/>
      <c r="CT21" s="9">
        <f t="shared" si="46"/>
        <v>0</v>
      </c>
      <c r="CU21" s="8">
        <f t="shared" si="47"/>
        <v>0</v>
      </c>
      <c r="CV21" s="7"/>
      <c r="CW21" s="10"/>
      <c r="CX21" s="9">
        <f t="shared" si="48"/>
        <v>0</v>
      </c>
      <c r="CY21" s="8">
        <f t="shared" si="49"/>
        <v>0</v>
      </c>
      <c r="CZ21" s="7"/>
      <c r="DA21" s="10"/>
      <c r="DB21" s="9">
        <f t="shared" si="50"/>
        <v>0</v>
      </c>
      <c r="DC21" s="8">
        <f t="shared" si="51"/>
        <v>0</v>
      </c>
      <c r="DD21" s="7"/>
      <c r="DE21" s="10"/>
      <c r="DF21" s="9">
        <f t="shared" si="52"/>
        <v>0</v>
      </c>
      <c r="DG21" s="8">
        <f t="shared" si="53"/>
        <v>0</v>
      </c>
      <c r="DH21" s="7"/>
      <c r="DI21" s="10"/>
      <c r="DJ21" s="9">
        <f t="shared" si="54"/>
        <v>0</v>
      </c>
      <c r="DK21" s="8">
        <f t="shared" si="55"/>
        <v>0</v>
      </c>
    </row>
    <row r="22" spans="1:115" ht="16" customHeight="1" thickBot="1">
      <c r="A22" s="134" t="s">
        <v>65</v>
      </c>
      <c r="B22" s="133" t="s">
        <v>137</v>
      </c>
      <c r="C22" s="124" t="s">
        <v>137</v>
      </c>
      <c r="D22" s="122"/>
      <c r="E22" s="10"/>
      <c r="F22" s="9">
        <f t="shared" si="0"/>
        <v>0</v>
      </c>
      <c r="G22" s="8">
        <f t="shared" si="1"/>
        <v>0</v>
      </c>
      <c r="H22" s="7"/>
      <c r="I22" s="10"/>
      <c r="J22" s="9">
        <f t="shared" si="2"/>
        <v>0</v>
      </c>
      <c r="K22" s="8">
        <f t="shared" si="3"/>
        <v>0</v>
      </c>
      <c r="L22" s="7"/>
      <c r="M22" s="10"/>
      <c r="N22" s="9">
        <f t="shared" si="4"/>
        <v>0</v>
      </c>
      <c r="O22" s="8">
        <f t="shared" si="5"/>
        <v>0</v>
      </c>
      <c r="P22" s="7"/>
      <c r="Q22" s="10"/>
      <c r="R22" s="9">
        <f t="shared" si="6"/>
        <v>0</v>
      </c>
      <c r="S22" s="8">
        <f t="shared" si="7"/>
        <v>0</v>
      </c>
      <c r="T22" s="7"/>
      <c r="U22" s="10"/>
      <c r="V22" s="9">
        <f t="shared" si="8"/>
        <v>0</v>
      </c>
      <c r="W22" s="8">
        <f t="shared" si="9"/>
        <v>0</v>
      </c>
      <c r="X22" s="7"/>
      <c r="Y22" s="10"/>
      <c r="Z22" s="9">
        <f t="shared" si="10"/>
        <v>0</v>
      </c>
      <c r="AA22" s="8">
        <f t="shared" si="11"/>
        <v>0</v>
      </c>
      <c r="AB22" s="7"/>
      <c r="AC22" s="10"/>
      <c r="AD22" s="9">
        <f t="shared" si="12"/>
        <v>0</v>
      </c>
      <c r="AE22" s="8">
        <f t="shared" si="13"/>
        <v>0</v>
      </c>
      <c r="AF22" s="7"/>
      <c r="AG22" s="10"/>
      <c r="AH22" s="9">
        <f t="shared" si="14"/>
        <v>0</v>
      </c>
      <c r="AI22" s="8">
        <f t="shared" si="15"/>
        <v>0</v>
      </c>
      <c r="AJ22" s="7"/>
      <c r="AK22" s="10"/>
      <c r="AL22" s="9">
        <f t="shared" si="16"/>
        <v>0</v>
      </c>
      <c r="AM22" s="8">
        <f t="shared" si="17"/>
        <v>0</v>
      </c>
      <c r="AN22" s="7"/>
      <c r="AO22" s="10"/>
      <c r="AP22" s="9">
        <f t="shared" si="18"/>
        <v>0</v>
      </c>
      <c r="AQ22" s="8">
        <f t="shared" si="19"/>
        <v>0</v>
      </c>
      <c r="AR22" s="7"/>
      <c r="AS22" s="10"/>
      <c r="AT22" s="9">
        <f t="shared" si="20"/>
        <v>0</v>
      </c>
      <c r="AU22" s="8">
        <f t="shared" si="21"/>
        <v>0</v>
      </c>
      <c r="AV22" s="7"/>
      <c r="AW22" s="10"/>
      <c r="AX22" s="9">
        <f t="shared" si="22"/>
        <v>0</v>
      </c>
      <c r="AY22" s="8">
        <f t="shared" si="23"/>
        <v>0</v>
      </c>
      <c r="AZ22" s="7"/>
      <c r="BA22" s="10"/>
      <c r="BB22" s="9">
        <f t="shared" si="24"/>
        <v>0</v>
      </c>
      <c r="BC22" s="8">
        <f t="shared" si="25"/>
        <v>0</v>
      </c>
      <c r="BD22" s="7"/>
      <c r="BE22" s="10"/>
      <c r="BF22" s="9">
        <f t="shared" si="26"/>
        <v>0</v>
      </c>
      <c r="BG22" s="8">
        <f t="shared" si="27"/>
        <v>0</v>
      </c>
      <c r="BH22" s="7"/>
      <c r="BI22" s="10"/>
      <c r="BJ22" s="9">
        <f t="shared" si="28"/>
        <v>0</v>
      </c>
      <c r="BK22" s="8">
        <f t="shared" si="29"/>
        <v>0</v>
      </c>
      <c r="BL22" s="7"/>
      <c r="BM22" s="10"/>
      <c r="BN22" s="9">
        <f t="shared" si="30"/>
        <v>0</v>
      </c>
      <c r="BO22" s="8">
        <f t="shared" si="31"/>
        <v>0</v>
      </c>
      <c r="BP22" s="7"/>
      <c r="BQ22" s="10"/>
      <c r="BR22" s="9">
        <f t="shared" si="32"/>
        <v>0</v>
      </c>
      <c r="BS22" s="8">
        <f t="shared" si="33"/>
        <v>0</v>
      </c>
      <c r="BT22" s="7"/>
      <c r="BU22" s="10"/>
      <c r="BV22" s="9">
        <f t="shared" si="34"/>
        <v>0</v>
      </c>
      <c r="BW22" s="8">
        <f t="shared" si="35"/>
        <v>0</v>
      </c>
      <c r="BX22" s="7"/>
      <c r="BY22" s="10"/>
      <c r="BZ22" s="9">
        <f t="shared" si="36"/>
        <v>0</v>
      </c>
      <c r="CA22" s="8">
        <f t="shared" si="37"/>
        <v>0</v>
      </c>
      <c r="CB22" s="7"/>
      <c r="CC22" s="10"/>
      <c r="CD22" s="9">
        <f t="shared" si="38"/>
        <v>0</v>
      </c>
      <c r="CE22" s="8">
        <f t="shared" si="39"/>
        <v>0</v>
      </c>
      <c r="CF22" s="7"/>
      <c r="CG22" s="10"/>
      <c r="CH22" s="9">
        <f t="shared" si="40"/>
        <v>0</v>
      </c>
      <c r="CI22" s="8">
        <f t="shared" si="41"/>
        <v>0</v>
      </c>
      <c r="CJ22" s="7"/>
      <c r="CK22" s="10"/>
      <c r="CL22" s="9">
        <f t="shared" si="42"/>
        <v>0</v>
      </c>
      <c r="CM22" s="8">
        <f t="shared" si="43"/>
        <v>0</v>
      </c>
      <c r="CN22" s="7"/>
      <c r="CO22" s="10"/>
      <c r="CP22" s="9">
        <f t="shared" si="44"/>
        <v>0</v>
      </c>
      <c r="CQ22" s="8">
        <f t="shared" si="45"/>
        <v>0</v>
      </c>
      <c r="CR22" s="7"/>
      <c r="CS22" s="10"/>
      <c r="CT22" s="9">
        <f t="shared" si="46"/>
        <v>0</v>
      </c>
      <c r="CU22" s="8">
        <f t="shared" si="47"/>
        <v>0</v>
      </c>
      <c r="CV22" s="7"/>
      <c r="CW22" s="10"/>
      <c r="CX22" s="9">
        <f t="shared" si="48"/>
        <v>0</v>
      </c>
      <c r="CY22" s="8">
        <f t="shared" si="49"/>
        <v>0</v>
      </c>
      <c r="CZ22" s="7"/>
      <c r="DA22" s="10"/>
      <c r="DB22" s="9">
        <f t="shared" si="50"/>
        <v>0</v>
      </c>
      <c r="DC22" s="8">
        <f t="shared" si="51"/>
        <v>0</v>
      </c>
      <c r="DD22" s="7"/>
      <c r="DE22" s="10"/>
      <c r="DF22" s="9">
        <f t="shared" si="52"/>
        <v>0</v>
      </c>
      <c r="DG22" s="8">
        <f t="shared" si="53"/>
        <v>0</v>
      </c>
      <c r="DH22" s="7"/>
      <c r="DI22" s="10"/>
      <c r="DJ22" s="9">
        <f t="shared" si="54"/>
        <v>0</v>
      </c>
      <c r="DK22" s="8">
        <f t="shared" si="55"/>
        <v>0</v>
      </c>
    </row>
    <row r="23" spans="1:115" ht="16" customHeight="1" thickBot="1">
      <c r="A23" s="134" t="s">
        <v>66</v>
      </c>
      <c r="B23" s="133" t="s">
        <v>137</v>
      </c>
      <c r="C23" s="124" t="s">
        <v>137</v>
      </c>
      <c r="D23" s="122"/>
      <c r="E23" s="10"/>
      <c r="F23" s="9">
        <f t="shared" si="0"/>
        <v>0</v>
      </c>
      <c r="G23" s="8">
        <f t="shared" si="1"/>
        <v>0</v>
      </c>
      <c r="H23" s="7"/>
      <c r="I23" s="10"/>
      <c r="J23" s="9">
        <f t="shared" si="2"/>
        <v>0</v>
      </c>
      <c r="K23" s="8">
        <f t="shared" si="3"/>
        <v>0</v>
      </c>
      <c r="L23" s="10"/>
      <c r="M23" s="10"/>
      <c r="N23" s="9">
        <f t="shared" si="4"/>
        <v>0</v>
      </c>
      <c r="O23" s="8">
        <f t="shared" si="5"/>
        <v>0</v>
      </c>
      <c r="P23" s="7"/>
      <c r="Q23" s="10"/>
      <c r="R23" s="9">
        <f t="shared" si="6"/>
        <v>0</v>
      </c>
      <c r="S23" s="8">
        <f t="shared" si="7"/>
        <v>0</v>
      </c>
      <c r="T23" s="7"/>
      <c r="U23" s="10"/>
      <c r="V23" s="9">
        <f t="shared" si="8"/>
        <v>0</v>
      </c>
      <c r="W23" s="8">
        <f t="shared" si="9"/>
        <v>0</v>
      </c>
      <c r="X23" s="7"/>
      <c r="Y23" s="10"/>
      <c r="Z23" s="9">
        <f t="shared" si="10"/>
        <v>0</v>
      </c>
      <c r="AA23" s="8">
        <f t="shared" si="11"/>
        <v>0</v>
      </c>
      <c r="AB23" s="7"/>
      <c r="AC23" s="10"/>
      <c r="AD23" s="9">
        <f t="shared" si="12"/>
        <v>0</v>
      </c>
      <c r="AE23" s="8">
        <f t="shared" si="13"/>
        <v>0</v>
      </c>
      <c r="AF23" s="7"/>
      <c r="AG23" s="10"/>
      <c r="AH23" s="9">
        <f t="shared" si="14"/>
        <v>0</v>
      </c>
      <c r="AI23" s="8">
        <f t="shared" si="15"/>
        <v>0</v>
      </c>
      <c r="AJ23" s="7"/>
      <c r="AK23" s="10"/>
      <c r="AL23" s="9">
        <f t="shared" si="16"/>
        <v>0</v>
      </c>
      <c r="AM23" s="8">
        <f t="shared" si="17"/>
        <v>0</v>
      </c>
      <c r="AN23" s="7"/>
      <c r="AO23" s="10"/>
      <c r="AP23" s="9">
        <f t="shared" si="18"/>
        <v>0</v>
      </c>
      <c r="AQ23" s="8">
        <f t="shared" si="19"/>
        <v>0</v>
      </c>
      <c r="AR23" s="7"/>
      <c r="AS23" s="10"/>
      <c r="AT23" s="9">
        <f t="shared" si="20"/>
        <v>0</v>
      </c>
      <c r="AU23" s="8">
        <f t="shared" si="21"/>
        <v>0</v>
      </c>
      <c r="AV23" s="7"/>
      <c r="AW23" s="10"/>
      <c r="AX23" s="9">
        <f t="shared" si="22"/>
        <v>0</v>
      </c>
      <c r="AY23" s="8">
        <f t="shared" si="23"/>
        <v>0</v>
      </c>
      <c r="AZ23" s="7"/>
      <c r="BA23" s="10"/>
      <c r="BB23" s="9">
        <f t="shared" si="24"/>
        <v>0</v>
      </c>
      <c r="BC23" s="8">
        <f t="shared" si="25"/>
        <v>0</v>
      </c>
      <c r="BD23" s="7"/>
      <c r="BE23" s="10"/>
      <c r="BF23" s="9">
        <f t="shared" si="26"/>
        <v>0</v>
      </c>
      <c r="BG23" s="8">
        <f t="shared" si="27"/>
        <v>0</v>
      </c>
      <c r="BH23" s="7"/>
      <c r="BI23" s="10"/>
      <c r="BJ23" s="9">
        <f t="shared" si="28"/>
        <v>0</v>
      </c>
      <c r="BK23" s="8">
        <f t="shared" si="29"/>
        <v>0</v>
      </c>
      <c r="BL23" s="7"/>
      <c r="BM23" s="10"/>
      <c r="BN23" s="9">
        <f t="shared" si="30"/>
        <v>0</v>
      </c>
      <c r="BO23" s="8">
        <f t="shared" si="31"/>
        <v>0</v>
      </c>
      <c r="BP23" s="7"/>
      <c r="BQ23" s="10"/>
      <c r="BR23" s="9">
        <f t="shared" si="32"/>
        <v>0</v>
      </c>
      <c r="BS23" s="8">
        <f t="shared" si="33"/>
        <v>0</v>
      </c>
      <c r="BT23" s="7"/>
      <c r="BU23" s="10"/>
      <c r="BV23" s="9">
        <f t="shared" si="34"/>
        <v>0</v>
      </c>
      <c r="BW23" s="8">
        <f t="shared" si="35"/>
        <v>0</v>
      </c>
      <c r="BX23" s="7"/>
      <c r="BY23" s="10"/>
      <c r="BZ23" s="9">
        <f t="shared" si="36"/>
        <v>0</v>
      </c>
      <c r="CA23" s="8">
        <f t="shared" si="37"/>
        <v>0</v>
      </c>
      <c r="CB23" s="7"/>
      <c r="CC23" s="10"/>
      <c r="CD23" s="9">
        <f t="shared" si="38"/>
        <v>0</v>
      </c>
      <c r="CE23" s="8">
        <f t="shared" si="39"/>
        <v>0</v>
      </c>
      <c r="CF23" s="7"/>
      <c r="CG23" s="10"/>
      <c r="CH23" s="9">
        <f t="shared" si="40"/>
        <v>0</v>
      </c>
      <c r="CI23" s="8">
        <f t="shared" si="41"/>
        <v>0</v>
      </c>
      <c r="CJ23" s="7"/>
      <c r="CK23" s="10"/>
      <c r="CL23" s="9">
        <f t="shared" si="42"/>
        <v>0</v>
      </c>
      <c r="CM23" s="8">
        <f t="shared" si="43"/>
        <v>0</v>
      </c>
      <c r="CN23" s="7"/>
      <c r="CO23" s="10"/>
      <c r="CP23" s="9">
        <f t="shared" si="44"/>
        <v>0</v>
      </c>
      <c r="CQ23" s="8">
        <f t="shared" si="45"/>
        <v>0</v>
      </c>
      <c r="CR23" s="7"/>
      <c r="CS23" s="10"/>
      <c r="CT23" s="9">
        <f t="shared" si="46"/>
        <v>0</v>
      </c>
      <c r="CU23" s="8">
        <f t="shared" si="47"/>
        <v>0</v>
      </c>
      <c r="CV23" s="7"/>
      <c r="CW23" s="10"/>
      <c r="CX23" s="9">
        <f t="shared" si="48"/>
        <v>0</v>
      </c>
      <c r="CY23" s="8">
        <f t="shared" si="49"/>
        <v>0</v>
      </c>
      <c r="CZ23" s="7"/>
      <c r="DA23" s="10"/>
      <c r="DB23" s="9">
        <f t="shared" si="50"/>
        <v>0</v>
      </c>
      <c r="DC23" s="8">
        <f t="shared" si="51"/>
        <v>0</v>
      </c>
      <c r="DD23" s="7"/>
      <c r="DE23" s="10"/>
      <c r="DF23" s="9">
        <f t="shared" si="52"/>
        <v>0</v>
      </c>
      <c r="DG23" s="8">
        <f t="shared" si="53"/>
        <v>0</v>
      </c>
      <c r="DH23" s="7"/>
      <c r="DI23" s="10"/>
      <c r="DJ23" s="9">
        <f t="shared" si="54"/>
        <v>0</v>
      </c>
      <c r="DK23" s="8">
        <f t="shared" si="55"/>
        <v>0</v>
      </c>
    </row>
    <row r="24" spans="1:115" ht="16" customHeight="1" thickBot="1">
      <c r="A24" s="134" t="s">
        <v>67</v>
      </c>
      <c r="B24" s="133" t="s">
        <v>137</v>
      </c>
      <c r="C24" s="124" t="s">
        <v>137</v>
      </c>
      <c r="D24" s="122"/>
      <c r="E24" s="10"/>
      <c r="F24" s="9">
        <f t="shared" si="0"/>
        <v>0</v>
      </c>
      <c r="G24" s="8">
        <f t="shared" si="1"/>
        <v>0</v>
      </c>
      <c r="H24" s="7"/>
      <c r="I24" s="10"/>
      <c r="J24" s="9">
        <f t="shared" si="2"/>
        <v>0</v>
      </c>
      <c r="K24" s="8">
        <f t="shared" si="3"/>
        <v>0</v>
      </c>
      <c r="L24" s="7"/>
      <c r="M24" s="10"/>
      <c r="N24" s="9">
        <f t="shared" si="4"/>
        <v>0</v>
      </c>
      <c r="O24" s="8">
        <f t="shared" si="5"/>
        <v>0</v>
      </c>
      <c r="P24" s="7"/>
      <c r="Q24" s="10"/>
      <c r="R24" s="9">
        <f t="shared" si="6"/>
        <v>0</v>
      </c>
      <c r="S24" s="8">
        <f t="shared" si="7"/>
        <v>0</v>
      </c>
      <c r="T24" s="7"/>
      <c r="U24" s="10"/>
      <c r="V24" s="9">
        <f t="shared" si="8"/>
        <v>0</v>
      </c>
      <c r="W24" s="8">
        <f t="shared" si="9"/>
        <v>0</v>
      </c>
      <c r="X24" s="7"/>
      <c r="Y24" s="10"/>
      <c r="Z24" s="9">
        <f t="shared" si="10"/>
        <v>0</v>
      </c>
      <c r="AA24" s="8">
        <f t="shared" si="11"/>
        <v>0</v>
      </c>
      <c r="AB24" s="7"/>
      <c r="AC24" s="10"/>
      <c r="AD24" s="9">
        <f t="shared" si="12"/>
        <v>0</v>
      </c>
      <c r="AE24" s="8">
        <f t="shared" si="13"/>
        <v>0</v>
      </c>
      <c r="AF24" s="7"/>
      <c r="AG24" s="10"/>
      <c r="AH24" s="9">
        <f t="shared" si="14"/>
        <v>0</v>
      </c>
      <c r="AI24" s="8">
        <f t="shared" si="15"/>
        <v>0</v>
      </c>
      <c r="AJ24" s="7"/>
      <c r="AK24" s="10"/>
      <c r="AL24" s="9">
        <f t="shared" si="16"/>
        <v>0</v>
      </c>
      <c r="AM24" s="8">
        <f t="shared" si="17"/>
        <v>0</v>
      </c>
      <c r="AN24" s="7"/>
      <c r="AO24" s="10"/>
      <c r="AP24" s="9">
        <f t="shared" si="18"/>
        <v>0</v>
      </c>
      <c r="AQ24" s="8">
        <f t="shared" si="19"/>
        <v>0</v>
      </c>
      <c r="AR24" s="7"/>
      <c r="AS24" s="10"/>
      <c r="AT24" s="9">
        <f t="shared" si="20"/>
        <v>0</v>
      </c>
      <c r="AU24" s="8">
        <f t="shared" si="21"/>
        <v>0</v>
      </c>
      <c r="AV24" s="7"/>
      <c r="AW24" s="10"/>
      <c r="AX24" s="9">
        <f t="shared" si="22"/>
        <v>0</v>
      </c>
      <c r="AY24" s="8">
        <f t="shared" si="23"/>
        <v>0</v>
      </c>
      <c r="AZ24" s="7"/>
      <c r="BA24" s="10"/>
      <c r="BB24" s="9">
        <f t="shared" si="24"/>
        <v>0</v>
      </c>
      <c r="BC24" s="8">
        <f t="shared" si="25"/>
        <v>0</v>
      </c>
      <c r="BD24" s="7"/>
      <c r="BE24" s="10"/>
      <c r="BF24" s="9">
        <f t="shared" si="26"/>
        <v>0</v>
      </c>
      <c r="BG24" s="8">
        <f t="shared" si="27"/>
        <v>0</v>
      </c>
      <c r="BH24" s="7"/>
      <c r="BI24" s="10"/>
      <c r="BJ24" s="9">
        <f t="shared" si="28"/>
        <v>0</v>
      </c>
      <c r="BK24" s="8">
        <f t="shared" si="29"/>
        <v>0</v>
      </c>
      <c r="BL24" s="7"/>
      <c r="BM24" s="10"/>
      <c r="BN24" s="9">
        <f t="shared" si="30"/>
        <v>0</v>
      </c>
      <c r="BO24" s="8">
        <f t="shared" si="31"/>
        <v>0</v>
      </c>
      <c r="BP24" s="7"/>
      <c r="BQ24" s="10"/>
      <c r="BR24" s="9">
        <f t="shared" si="32"/>
        <v>0</v>
      </c>
      <c r="BS24" s="8">
        <f t="shared" si="33"/>
        <v>0</v>
      </c>
      <c r="BT24" s="7"/>
      <c r="BU24" s="10"/>
      <c r="BV24" s="9">
        <f t="shared" si="34"/>
        <v>0</v>
      </c>
      <c r="BW24" s="8">
        <f t="shared" si="35"/>
        <v>0</v>
      </c>
      <c r="BX24" s="7"/>
      <c r="BY24" s="10"/>
      <c r="BZ24" s="9">
        <f t="shared" si="36"/>
        <v>0</v>
      </c>
      <c r="CA24" s="8">
        <f t="shared" si="37"/>
        <v>0</v>
      </c>
      <c r="CB24" s="114"/>
      <c r="CC24" s="10"/>
      <c r="CD24" s="9">
        <f t="shared" si="38"/>
        <v>0</v>
      </c>
      <c r="CE24" s="8">
        <f t="shared" si="39"/>
        <v>0</v>
      </c>
      <c r="CF24" s="7"/>
      <c r="CG24" s="10"/>
      <c r="CH24" s="9">
        <f t="shared" si="40"/>
        <v>0</v>
      </c>
      <c r="CI24" s="8">
        <f t="shared" si="41"/>
        <v>0</v>
      </c>
      <c r="CJ24" s="7"/>
      <c r="CK24" s="10"/>
      <c r="CL24" s="9">
        <f t="shared" si="42"/>
        <v>0</v>
      </c>
      <c r="CM24" s="8">
        <f t="shared" si="43"/>
        <v>0</v>
      </c>
      <c r="CN24" s="7"/>
      <c r="CO24" s="10"/>
      <c r="CP24" s="9">
        <f t="shared" si="44"/>
        <v>0</v>
      </c>
      <c r="CQ24" s="8">
        <f t="shared" si="45"/>
        <v>0</v>
      </c>
      <c r="CR24" s="7"/>
      <c r="CS24" s="10"/>
      <c r="CT24" s="9">
        <f t="shared" si="46"/>
        <v>0</v>
      </c>
      <c r="CU24" s="8">
        <f t="shared" si="47"/>
        <v>0</v>
      </c>
      <c r="CV24" s="7"/>
      <c r="CW24" s="10"/>
      <c r="CX24" s="9">
        <f t="shared" si="48"/>
        <v>0</v>
      </c>
      <c r="CY24" s="8">
        <f t="shared" si="49"/>
        <v>0</v>
      </c>
      <c r="CZ24" s="7"/>
      <c r="DA24" s="10"/>
      <c r="DB24" s="9">
        <f t="shared" si="50"/>
        <v>0</v>
      </c>
      <c r="DC24" s="8">
        <f t="shared" si="51"/>
        <v>0</v>
      </c>
      <c r="DD24" s="7"/>
      <c r="DE24" s="10"/>
      <c r="DF24" s="9">
        <f t="shared" si="52"/>
        <v>0</v>
      </c>
      <c r="DG24" s="8">
        <f t="shared" si="53"/>
        <v>0</v>
      </c>
      <c r="DH24" s="7"/>
      <c r="DI24" s="10"/>
      <c r="DJ24" s="9">
        <f t="shared" si="54"/>
        <v>0</v>
      </c>
      <c r="DK24" s="8">
        <f t="shared" si="55"/>
        <v>0</v>
      </c>
    </row>
    <row r="25" spans="1:115" ht="16" customHeight="1" thickBot="1">
      <c r="A25" s="134" t="s">
        <v>68</v>
      </c>
      <c r="B25" s="133" t="s">
        <v>137</v>
      </c>
      <c r="C25" s="124" t="s">
        <v>137</v>
      </c>
      <c r="D25" s="122"/>
      <c r="E25" s="10"/>
      <c r="F25" s="9">
        <f t="shared" si="0"/>
        <v>0</v>
      </c>
      <c r="G25" s="8">
        <f t="shared" si="1"/>
        <v>0</v>
      </c>
      <c r="H25" s="7"/>
      <c r="I25" s="10"/>
      <c r="J25" s="9">
        <f t="shared" si="2"/>
        <v>0</v>
      </c>
      <c r="K25" s="8">
        <f t="shared" si="3"/>
        <v>0</v>
      </c>
      <c r="L25" s="7"/>
      <c r="M25" s="10"/>
      <c r="N25" s="9">
        <f t="shared" si="4"/>
        <v>0</v>
      </c>
      <c r="O25" s="8">
        <f t="shared" si="5"/>
        <v>0</v>
      </c>
      <c r="P25" s="7"/>
      <c r="Q25" s="10"/>
      <c r="R25" s="9">
        <f t="shared" si="6"/>
        <v>0</v>
      </c>
      <c r="S25" s="8">
        <f t="shared" si="7"/>
        <v>0</v>
      </c>
      <c r="T25" s="7"/>
      <c r="U25" s="10"/>
      <c r="V25" s="9">
        <f t="shared" si="8"/>
        <v>0</v>
      </c>
      <c r="W25" s="8">
        <f t="shared" si="9"/>
        <v>0</v>
      </c>
      <c r="X25" s="7"/>
      <c r="Y25" s="10"/>
      <c r="Z25" s="9">
        <f t="shared" si="10"/>
        <v>0</v>
      </c>
      <c r="AA25" s="8">
        <f t="shared" si="11"/>
        <v>0</v>
      </c>
      <c r="AB25" s="7"/>
      <c r="AC25" s="10"/>
      <c r="AD25" s="9">
        <f t="shared" si="12"/>
        <v>0</v>
      </c>
      <c r="AE25" s="8">
        <f t="shared" si="13"/>
        <v>0</v>
      </c>
      <c r="AF25" s="7"/>
      <c r="AG25" s="10"/>
      <c r="AH25" s="9">
        <f t="shared" si="14"/>
        <v>0</v>
      </c>
      <c r="AI25" s="8">
        <f t="shared" si="15"/>
        <v>0</v>
      </c>
      <c r="AJ25" s="7"/>
      <c r="AK25" s="10"/>
      <c r="AL25" s="9">
        <f t="shared" si="16"/>
        <v>0</v>
      </c>
      <c r="AM25" s="8">
        <f t="shared" si="17"/>
        <v>0</v>
      </c>
      <c r="AN25" s="7"/>
      <c r="AO25" s="10"/>
      <c r="AP25" s="9">
        <f t="shared" si="18"/>
        <v>0</v>
      </c>
      <c r="AQ25" s="8">
        <f t="shared" si="19"/>
        <v>0</v>
      </c>
      <c r="AR25" s="7"/>
      <c r="AS25" s="10"/>
      <c r="AT25" s="9">
        <f t="shared" si="20"/>
        <v>0</v>
      </c>
      <c r="AU25" s="8">
        <f t="shared" si="21"/>
        <v>0</v>
      </c>
      <c r="AV25" s="7"/>
      <c r="AW25" s="10"/>
      <c r="AX25" s="9">
        <f t="shared" si="22"/>
        <v>0</v>
      </c>
      <c r="AY25" s="8">
        <f t="shared" si="23"/>
        <v>0</v>
      </c>
      <c r="AZ25" s="7"/>
      <c r="BA25" s="10"/>
      <c r="BB25" s="9">
        <f t="shared" si="24"/>
        <v>0</v>
      </c>
      <c r="BC25" s="8">
        <f t="shared" si="25"/>
        <v>0</v>
      </c>
      <c r="BD25" s="7"/>
      <c r="BE25" s="10"/>
      <c r="BF25" s="9">
        <f t="shared" si="26"/>
        <v>0</v>
      </c>
      <c r="BG25" s="8">
        <f t="shared" si="27"/>
        <v>0</v>
      </c>
      <c r="BH25" s="7"/>
      <c r="BI25" s="10"/>
      <c r="BJ25" s="9">
        <f t="shared" si="28"/>
        <v>0</v>
      </c>
      <c r="BK25" s="8">
        <f t="shared" si="29"/>
        <v>0</v>
      </c>
      <c r="BL25" s="7"/>
      <c r="BM25" s="10"/>
      <c r="BN25" s="9">
        <f t="shared" si="30"/>
        <v>0</v>
      </c>
      <c r="BO25" s="8">
        <f t="shared" si="31"/>
        <v>0</v>
      </c>
      <c r="BP25" s="7"/>
      <c r="BQ25" s="10"/>
      <c r="BR25" s="9">
        <f t="shared" si="32"/>
        <v>0</v>
      </c>
      <c r="BS25" s="8">
        <f t="shared" si="33"/>
        <v>0</v>
      </c>
      <c r="BT25" s="7"/>
      <c r="BU25" s="10"/>
      <c r="BV25" s="9">
        <f t="shared" si="34"/>
        <v>0</v>
      </c>
      <c r="BW25" s="8">
        <f t="shared" si="35"/>
        <v>0</v>
      </c>
      <c r="BX25" s="7"/>
      <c r="BY25" s="10"/>
      <c r="BZ25" s="9">
        <f t="shared" si="36"/>
        <v>0</v>
      </c>
      <c r="CA25" s="8">
        <f t="shared" si="37"/>
        <v>0</v>
      </c>
      <c r="CB25" s="114"/>
      <c r="CC25" s="10"/>
      <c r="CD25" s="9">
        <f t="shared" si="38"/>
        <v>0</v>
      </c>
      <c r="CE25" s="8">
        <f t="shared" si="39"/>
        <v>0</v>
      </c>
      <c r="CF25" s="7"/>
      <c r="CG25" s="10"/>
      <c r="CH25" s="9">
        <f t="shared" si="40"/>
        <v>0</v>
      </c>
      <c r="CI25" s="8">
        <f t="shared" si="41"/>
        <v>0</v>
      </c>
      <c r="CJ25" s="7"/>
      <c r="CK25" s="10"/>
      <c r="CL25" s="9">
        <f t="shared" si="42"/>
        <v>0</v>
      </c>
      <c r="CM25" s="8">
        <f t="shared" si="43"/>
        <v>0</v>
      </c>
      <c r="CN25" s="7"/>
      <c r="CO25" s="10"/>
      <c r="CP25" s="9">
        <f t="shared" si="44"/>
        <v>0</v>
      </c>
      <c r="CQ25" s="8">
        <f t="shared" si="45"/>
        <v>0</v>
      </c>
      <c r="CR25" s="7"/>
      <c r="CS25" s="10"/>
      <c r="CT25" s="9">
        <f t="shared" si="46"/>
        <v>0</v>
      </c>
      <c r="CU25" s="8">
        <f t="shared" si="47"/>
        <v>0</v>
      </c>
      <c r="CV25" s="7"/>
      <c r="CW25" s="10"/>
      <c r="CX25" s="9">
        <f t="shared" si="48"/>
        <v>0</v>
      </c>
      <c r="CY25" s="8">
        <f t="shared" si="49"/>
        <v>0</v>
      </c>
      <c r="CZ25" s="7"/>
      <c r="DA25" s="10"/>
      <c r="DB25" s="9">
        <f t="shared" si="50"/>
        <v>0</v>
      </c>
      <c r="DC25" s="8">
        <f t="shared" si="51"/>
        <v>0</v>
      </c>
      <c r="DD25" s="7"/>
      <c r="DE25" s="10"/>
      <c r="DF25" s="9">
        <f t="shared" si="52"/>
        <v>0</v>
      </c>
      <c r="DG25" s="8">
        <f t="shared" si="53"/>
        <v>0</v>
      </c>
      <c r="DH25" s="7"/>
      <c r="DI25" s="10"/>
      <c r="DJ25" s="9">
        <f t="shared" si="54"/>
        <v>0</v>
      </c>
      <c r="DK25" s="8">
        <f t="shared" si="55"/>
        <v>0</v>
      </c>
    </row>
    <row r="26" spans="1:115" ht="16" customHeight="1" thickBot="1">
      <c r="A26" s="134" t="s">
        <v>69</v>
      </c>
      <c r="B26" s="133" t="s">
        <v>137</v>
      </c>
      <c r="C26" s="124" t="s">
        <v>137</v>
      </c>
      <c r="D26" s="122"/>
      <c r="E26" s="10"/>
      <c r="F26" s="9">
        <f t="shared" si="0"/>
        <v>0</v>
      </c>
      <c r="G26" s="8">
        <f t="shared" si="1"/>
        <v>0</v>
      </c>
      <c r="H26" s="7"/>
      <c r="I26" s="10"/>
      <c r="J26" s="9">
        <f t="shared" si="2"/>
        <v>0</v>
      </c>
      <c r="K26" s="8">
        <f t="shared" si="3"/>
        <v>0</v>
      </c>
      <c r="L26" s="10"/>
      <c r="M26" s="10"/>
      <c r="N26" s="9">
        <f t="shared" si="4"/>
        <v>0</v>
      </c>
      <c r="O26" s="8">
        <f t="shared" si="5"/>
        <v>0</v>
      </c>
      <c r="P26" s="7"/>
      <c r="Q26" s="10"/>
      <c r="R26" s="9">
        <f t="shared" si="6"/>
        <v>0</v>
      </c>
      <c r="S26" s="8">
        <f t="shared" si="7"/>
        <v>0</v>
      </c>
      <c r="T26" s="7"/>
      <c r="U26" s="10"/>
      <c r="V26" s="9">
        <f t="shared" si="8"/>
        <v>0</v>
      </c>
      <c r="W26" s="8">
        <f t="shared" si="9"/>
        <v>0</v>
      </c>
      <c r="X26" s="7"/>
      <c r="Y26" s="10"/>
      <c r="Z26" s="9">
        <f t="shared" si="10"/>
        <v>0</v>
      </c>
      <c r="AA26" s="8">
        <f t="shared" si="11"/>
        <v>0</v>
      </c>
      <c r="AB26" s="7"/>
      <c r="AC26" s="10"/>
      <c r="AD26" s="9">
        <f t="shared" si="12"/>
        <v>0</v>
      </c>
      <c r="AE26" s="8">
        <f t="shared" si="13"/>
        <v>0</v>
      </c>
      <c r="AF26" s="7"/>
      <c r="AG26" s="10"/>
      <c r="AH26" s="9">
        <f t="shared" si="14"/>
        <v>0</v>
      </c>
      <c r="AI26" s="8">
        <f t="shared" si="15"/>
        <v>0</v>
      </c>
      <c r="AJ26" s="7"/>
      <c r="AK26" s="10"/>
      <c r="AL26" s="9">
        <f t="shared" si="16"/>
        <v>0</v>
      </c>
      <c r="AM26" s="8">
        <f t="shared" si="17"/>
        <v>0</v>
      </c>
      <c r="AN26" s="7"/>
      <c r="AO26" s="10"/>
      <c r="AP26" s="9">
        <f t="shared" si="18"/>
        <v>0</v>
      </c>
      <c r="AQ26" s="8">
        <f t="shared" si="19"/>
        <v>0</v>
      </c>
      <c r="AR26" s="7"/>
      <c r="AS26" s="10"/>
      <c r="AT26" s="9">
        <f t="shared" si="20"/>
        <v>0</v>
      </c>
      <c r="AU26" s="8">
        <f t="shared" si="21"/>
        <v>0</v>
      </c>
      <c r="AV26" s="7"/>
      <c r="AW26" s="10"/>
      <c r="AX26" s="9">
        <f t="shared" si="22"/>
        <v>0</v>
      </c>
      <c r="AY26" s="8">
        <f t="shared" si="23"/>
        <v>0</v>
      </c>
      <c r="AZ26" s="7"/>
      <c r="BA26" s="10"/>
      <c r="BB26" s="9">
        <f t="shared" si="24"/>
        <v>0</v>
      </c>
      <c r="BC26" s="8">
        <f t="shared" si="25"/>
        <v>0</v>
      </c>
      <c r="BD26" s="7"/>
      <c r="BE26" s="10"/>
      <c r="BF26" s="9">
        <f t="shared" si="26"/>
        <v>0</v>
      </c>
      <c r="BG26" s="8">
        <f t="shared" si="27"/>
        <v>0</v>
      </c>
      <c r="BH26" s="7"/>
      <c r="BI26" s="10"/>
      <c r="BJ26" s="9">
        <f t="shared" si="28"/>
        <v>0</v>
      </c>
      <c r="BK26" s="8">
        <f t="shared" si="29"/>
        <v>0</v>
      </c>
      <c r="BL26" s="7"/>
      <c r="BM26" s="10"/>
      <c r="BN26" s="9">
        <f t="shared" si="30"/>
        <v>0</v>
      </c>
      <c r="BO26" s="8">
        <f t="shared" si="31"/>
        <v>0</v>
      </c>
      <c r="BP26" s="7"/>
      <c r="BQ26" s="10"/>
      <c r="BR26" s="9">
        <f t="shared" si="32"/>
        <v>0</v>
      </c>
      <c r="BS26" s="8">
        <f t="shared" si="33"/>
        <v>0</v>
      </c>
      <c r="BT26" s="7"/>
      <c r="BU26" s="10"/>
      <c r="BV26" s="9">
        <f t="shared" si="34"/>
        <v>0</v>
      </c>
      <c r="BW26" s="8">
        <f t="shared" si="35"/>
        <v>0</v>
      </c>
      <c r="BX26" s="7"/>
      <c r="BY26" s="10"/>
      <c r="BZ26" s="9">
        <f t="shared" si="36"/>
        <v>0</v>
      </c>
      <c r="CA26" s="8">
        <f t="shared" si="37"/>
        <v>0</v>
      </c>
      <c r="CB26" s="7"/>
      <c r="CC26" s="10"/>
      <c r="CD26" s="9">
        <f t="shared" si="38"/>
        <v>0</v>
      </c>
      <c r="CE26" s="8">
        <f t="shared" si="39"/>
        <v>0</v>
      </c>
      <c r="CF26" s="7"/>
      <c r="CG26" s="10"/>
      <c r="CH26" s="9">
        <f t="shared" si="40"/>
        <v>0</v>
      </c>
      <c r="CI26" s="8">
        <f t="shared" si="41"/>
        <v>0</v>
      </c>
      <c r="CJ26" s="7"/>
      <c r="CK26" s="10"/>
      <c r="CL26" s="9">
        <f t="shared" si="42"/>
        <v>0</v>
      </c>
      <c r="CM26" s="8">
        <f t="shared" si="43"/>
        <v>0</v>
      </c>
      <c r="CN26" s="7"/>
      <c r="CO26" s="10"/>
      <c r="CP26" s="9">
        <f t="shared" si="44"/>
        <v>0</v>
      </c>
      <c r="CQ26" s="8">
        <f t="shared" si="45"/>
        <v>0</v>
      </c>
      <c r="CR26" s="7"/>
      <c r="CS26" s="10"/>
      <c r="CT26" s="9">
        <f t="shared" si="46"/>
        <v>0</v>
      </c>
      <c r="CU26" s="8">
        <f t="shared" si="47"/>
        <v>0</v>
      </c>
      <c r="CV26" s="7"/>
      <c r="CW26" s="10"/>
      <c r="CX26" s="9">
        <f t="shared" si="48"/>
        <v>0</v>
      </c>
      <c r="CY26" s="8">
        <f t="shared" si="49"/>
        <v>0</v>
      </c>
      <c r="CZ26" s="7"/>
      <c r="DA26" s="10"/>
      <c r="DB26" s="9">
        <f t="shared" si="50"/>
        <v>0</v>
      </c>
      <c r="DC26" s="8">
        <f t="shared" si="51"/>
        <v>0</v>
      </c>
      <c r="DD26" s="7"/>
      <c r="DE26" s="10"/>
      <c r="DF26" s="9">
        <f t="shared" si="52"/>
        <v>0</v>
      </c>
      <c r="DG26" s="8">
        <f t="shared" si="53"/>
        <v>0</v>
      </c>
      <c r="DH26" s="7"/>
      <c r="DI26" s="10"/>
      <c r="DJ26" s="9">
        <f t="shared" si="54"/>
        <v>0</v>
      </c>
      <c r="DK26" s="8">
        <f t="shared" si="55"/>
        <v>0</v>
      </c>
    </row>
    <row r="27" spans="1:115" ht="16" customHeight="1" thickBot="1">
      <c r="A27" s="134" t="s">
        <v>70</v>
      </c>
      <c r="B27" s="133" t="s">
        <v>137</v>
      </c>
      <c r="C27" s="124" t="s">
        <v>137</v>
      </c>
      <c r="D27" s="122"/>
      <c r="E27" s="10"/>
      <c r="F27" s="9">
        <f t="shared" si="0"/>
        <v>0</v>
      </c>
      <c r="G27" s="8">
        <f t="shared" si="1"/>
        <v>0</v>
      </c>
      <c r="H27" s="7"/>
      <c r="I27" s="10"/>
      <c r="J27" s="9">
        <f t="shared" si="2"/>
        <v>0</v>
      </c>
      <c r="K27" s="8">
        <f t="shared" si="3"/>
        <v>0</v>
      </c>
      <c r="L27" s="10"/>
      <c r="M27" s="10"/>
      <c r="N27" s="9">
        <f t="shared" si="4"/>
        <v>0</v>
      </c>
      <c r="O27" s="8">
        <f t="shared" si="5"/>
        <v>0</v>
      </c>
      <c r="P27" s="7"/>
      <c r="Q27" s="10"/>
      <c r="R27" s="9">
        <f t="shared" si="6"/>
        <v>0</v>
      </c>
      <c r="S27" s="8">
        <f t="shared" si="7"/>
        <v>0</v>
      </c>
      <c r="T27" s="7"/>
      <c r="U27" s="10"/>
      <c r="V27" s="9">
        <f t="shared" si="8"/>
        <v>0</v>
      </c>
      <c r="W27" s="8">
        <f t="shared" si="9"/>
        <v>0</v>
      </c>
      <c r="X27" s="7"/>
      <c r="Y27" s="10"/>
      <c r="Z27" s="9">
        <f t="shared" si="10"/>
        <v>0</v>
      </c>
      <c r="AA27" s="8">
        <f t="shared" si="11"/>
        <v>0</v>
      </c>
      <c r="AB27" s="7"/>
      <c r="AC27" s="10"/>
      <c r="AD27" s="9">
        <f t="shared" si="12"/>
        <v>0</v>
      </c>
      <c r="AE27" s="8">
        <f t="shared" si="13"/>
        <v>0</v>
      </c>
      <c r="AF27" s="7"/>
      <c r="AG27" s="10"/>
      <c r="AH27" s="9">
        <f t="shared" si="14"/>
        <v>0</v>
      </c>
      <c r="AI27" s="8">
        <f t="shared" si="15"/>
        <v>0</v>
      </c>
      <c r="AJ27" s="7"/>
      <c r="AK27" s="10"/>
      <c r="AL27" s="9">
        <f t="shared" si="16"/>
        <v>0</v>
      </c>
      <c r="AM27" s="8">
        <f t="shared" si="17"/>
        <v>0</v>
      </c>
      <c r="AN27" s="7"/>
      <c r="AO27" s="10"/>
      <c r="AP27" s="9">
        <f t="shared" si="18"/>
        <v>0</v>
      </c>
      <c r="AQ27" s="8">
        <f t="shared" si="19"/>
        <v>0</v>
      </c>
      <c r="AR27" s="7"/>
      <c r="AS27" s="10"/>
      <c r="AT27" s="9">
        <f t="shared" si="20"/>
        <v>0</v>
      </c>
      <c r="AU27" s="8">
        <f t="shared" si="21"/>
        <v>0</v>
      </c>
      <c r="AV27" s="7"/>
      <c r="AW27" s="10"/>
      <c r="AX27" s="9">
        <f t="shared" si="22"/>
        <v>0</v>
      </c>
      <c r="AY27" s="8">
        <f t="shared" si="23"/>
        <v>0</v>
      </c>
      <c r="AZ27" s="7"/>
      <c r="BA27" s="10"/>
      <c r="BB27" s="9">
        <f t="shared" si="24"/>
        <v>0</v>
      </c>
      <c r="BC27" s="8">
        <f t="shared" si="25"/>
        <v>0</v>
      </c>
      <c r="BD27" s="7"/>
      <c r="BE27" s="10"/>
      <c r="BF27" s="9">
        <f t="shared" si="26"/>
        <v>0</v>
      </c>
      <c r="BG27" s="8">
        <f t="shared" si="27"/>
        <v>0</v>
      </c>
      <c r="BH27" s="7"/>
      <c r="BI27" s="10"/>
      <c r="BJ27" s="9">
        <f t="shared" si="28"/>
        <v>0</v>
      </c>
      <c r="BK27" s="8">
        <f t="shared" si="29"/>
        <v>0</v>
      </c>
      <c r="BL27" s="7"/>
      <c r="BM27" s="10"/>
      <c r="BN27" s="9">
        <f t="shared" si="30"/>
        <v>0</v>
      </c>
      <c r="BO27" s="8">
        <f t="shared" si="31"/>
        <v>0</v>
      </c>
      <c r="BP27" s="7"/>
      <c r="BQ27" s="10"/>
      <c r="BR27" s="9">
        <f t="shared" si="32"/>
        <v>0</v>
      </c>
      <c r="BS27" s="8">
        <f t="shared" si="33"/>
        <v>0</v>
      </c>
      <c r="BT27" s="7"/>
      <c r="BU27" s="10"/>
      <c r="BV27" s="9">
        <f t="shared" si="34"/>
        <v>0</v>
      </c>
      <c r="BW27" s="8">
        <f t="shared" si="35"/>
        <v>0</v>
      </c>
      <c r="BX27" s="7"/>
      <c r="BY27" s="10"/>
      <c r="BZ27" s="9">
        <f t="shared" si="36"/>
        <v>0</v>
      </c>
      <c r="CA27" s="8">
        <f t="shared" si="37"/>
        <v>0</v>
      </c>
      <c r="CB27" s="7"/>
      <c r="CC27" s="10"/>
      <c r="CD27" s="9">
        <f t="shared" si="38"/>
        <v>0</v>
      </c>
      <c r="CE27" s="8">
        <f t="shared" si="39"/>
        <v>0</v>
      </c>
      <c r="CF27" s="7"/>
      <c r="CG27" s="10"/>
      <c r="CH27" s="9">
        <f t="shared" si="40"/>
        <v>0</v>
      </c>
      <c r="CI27" s="8">
        <f t="shared" si="41"/>
        <v>0</v>
      </c>
      <c r="CJ27" s="7"/>
      <c r="CK27" s="10"/>
      <c r="CL27" s="9">
        <f t="shared" si="42"/>
        <v>0</v>
      </c>
      <c r="CM27" s="8">
        <f t="shared" si="43"/>
        <v>0</v>
      </c>
      <c r="CN27" s="7"/>
      <c r="CO27" s="10"/>
      <c r="CP27" s="9">
        <f t="shared" si="44"/>
        <v>0</v>
      </c>
      <c r="CQ27" s="8">
        <f t="shared" si="45"/>
        <v>0</v>
      </c>
      <c r="CR27" s="7"/>
      <c r="CS27" s="10"/>
      <c r="CT27" s="9">
        <f t="shared" si="46"/>
        <v>0</v>
      </c>
      <c r="CU27" s="8">
        <f t="shared" si="47"/>
        <v>0</v>
      </c>
      <c r="CV27" s="7"/>
      <c r="CW27" s="10"/>
      <c r="CX27" s="9">
        <f t="shared" si="48"/>
        <v>0</v>
      </c>
      <c r="CY27" s="8">
        <f t="shared" si="49"/>
        <v>0</v>
      </c>
      <c r="CZ27" s="7"/>
      <c r="DA27" s="10"/>
      <c r="DB27" s="9">
        <f t="shared" si="50"/>
        <v>0</v>
      </c>
      <c r="DC27" s="8">
        <f t="shared" si="51"/>
        <v>0</v>
      </c>
      <c r="DD27" s="7"/>
      <c r="DE27" s="10"/>
      <c r="DF27" s="9">
        <f t="shared" si="52"/>
        <v>0</v>
      </c>
      <c r="DG27" s="8">
        <f t="shared" si="53"/>
        <v>0</v>
      </c>
      <c r="DH27" s="7"/>
      <c r="DI27" s="10"/>
      <c r="DJ27" s="9">
        <f t="shared" si="54"/>
        <v>0</v>
      </c>
      <c r="DK27" s="8">
        <f t="shared" si="55"/>
        <v>0</v>
      </c>
    </row>
    <row r="28" spans="1:115" ht="16" customHeight="1" thickBot="1">
      <c r="A28" s="134" t="s">
        <v>71</v>
      </c>
      <c r="B28" s="133" t="s">
        <v>137</v>
      </c>
      <c r="C28" s="124" t="s">
        <v>137</v>
      </c>
      <c r="D28" s="122"/>
      <c r="E28" s="10"/>
      <c r="F28" s="9">
        <f t="shared" si="0"/>
        <v>0</v>
      </c>
      <c r="G28" s="8">
        <f t="shared" si="1"/>
        <v>0</v>
      </c>
      <c r="H28" s="7"/>
      <c r="I28" s="10"/>
      <c r="J28" s="9">
        <f t="shared" si="2"/>
        <v>0</v>
      </c>
      <c r="K28" s="8">
        <f t="shared" si="3"/>
        <v>0</v>
      </c>
      <c r="L28" s="10"/>
      <c r="M28" s="10"/>
      <c r="N28" s="9">
        <f t="shared" si="4"/>
        <v>0</v>
      </c>
      <c r="O28" s="8">
        <f t="shared" si="5"/>
        <v>0</v>
      </c>
      <c r="P28" s="7"/>
      <c r="Q28" s="10"/>
      <c r="R28" s="9">
        <f t="shared" si="6"/>
        <v>0</v>
      </c>
      <c r="S28" s="8">
        <f t="shared" si="7"/>
        <v>0</v>
      </c>
      <c r="T28" s="7"/>
      <c r="U28" s="10"/>
      <c r="V28" s="9">
        <f t="shared" si="8"/>
        <v>0</v>
      </c>
      <c r="W28" s="8">
        <f t="shared" si="9"/>
        <v>0</v>
      </c>
      <c r="X28" s="7"/>
      <c r="Y28" s="10"/>
      <c r="Z28" s="9">
        <f t="shared" si="10"/>
        <v>0</v>
      </c>
      <c r="AA28" s="8">
        <f t="shared" si="11"/>
        <v>0</v>
      </c>
      <c r="AB28" s="7"/>
      <c r="AC28" s="10"/>
      <c r="AD28" s="9">
        <f t="shared" si="12"/>
        <v>0</v>
      </c>
      <c r="AE28" s="8">
        <f t="shared" si="13"/>
        <v>0</v>
      </c>
      <c r="AF28" s="7"/>
      <c r="AG28" s="10"/>
      <c r="AH28" s="9">
        <f t="shared" si="14"/>
        <v>0</v>
      </c>
      <c r="AI28" s="8">
        <f t="shared" si="15"/>
        <v>0</v>
      </c>
      <c r="AJ28" s="7"/>
      <c r="AK28" s="10"/>
      <c r="AL28" s="9">
        <f t="shared" si="16"/>
        <v>0</v>
      </c>
      <c r="AM28" s="8">
        <f t="shared" si="17"/>
        <v>0</v>
      </c>
      <c r="AN28" s="7"/>
      <c r="AO28" s="10"/>
      <c r="AP28" s="9">
        <f t="shared" si="18"/>
        <v>0</v>
      </c>
      <c r="AQ28" s="8">
        <f t="shared" si="19"/>
        <v>0</v>
      </c>
      <c r="AR28" s="7"/>
      <c r="AS28" s="10"/>
      <c r="AT28" s="9">
        <f t="shared" si="20"/>
        <v>0</v>
      </c>
      <c r="AU28" s="8">
        <f t="shared" si="21"/>
        <v>0</v>
      </c>
      <c r="AV28" s="7"/>
      <c r="AW28" s="10"/>
      <c r="AX28" s="9">
        <f t="shared" si="22"/>
        <v>0</v>
      </c>
      <c r="AY28" s="8">
        <f t="shared" si="23"/>
        <v>0</v>
      </c>
      <c r="AZ28" s="7"/>
      <c r="BA28" s="10"/>
      <c r="BB28" s="9">
        <f t="shared" si="24"/>
        <v>0</v>
      </c>
      <c r="BC28" s="8">
        <f t="shared" si="25"/>
        <v>0</v>
      </c>
      <c r="BD28" s="7"/>
      <c r="BE28" s="10"/>
      <c r="BF28" s="9">
        <f t="shared" si="26"/>
        <v>0</v>
      </c>
      <c r="BG28" s="8">
        <f t="shared" si="27"/>
        <v>0</v>
      </c>
      <c r="BH28" s="7"/>
      <c r="BI28" s="10"/>
      <c r="BJ28" s="9">
        <f t="shared" si="28"/>
        <v>0</v>
      </c>
      <c r="BK28" s="8">
        <f t="shared" si="29"/>
        <v>0</v>
      </c>
      <c r="BL28" s="7"/>
      <c r="BM28" s="10"/>
      <c r="BN28" s="9">
        <f t="shared" si="30"/>
        <v>0</v>
      </c>
      <c r="BO28" s="8">
        <f t="shared" si="31"/>
        <v>0</v>
      </c>
      <c r="BP28" s="7"/>
      <c r="BQ28" s="10"/>
      <c r="BR28" s="9">
        <f t="shared" si="32"/>
        <v>0</v>
      </c>
      <c r="BS28" s="8">
        <f t="shared" si="33"/>
        <v>0</v>
      </c>
      <c r="BT28" s="7"/>
      <c r="BU28" s="10"/>
      <c r="BV28" s="9">
        <f t="shared" si="34"/>
        <v>0</v>
      </c>
      <c r="BW28" s="8">
        <f t="shared" si="35"/>
        <v>0</v>
      </c>
      <c r="BX28" s="7"/>
      <c r="BY28" s="10"/>
      <c r="BZ28" s="9">
        <f t="shared" si="36"/>
        <v>0</v>
      </c>
      <c r="CA28" s="8">
        <f t="shared" si="37"/>
        <v>0</v>
      </c>
      <c r="CB28" s="7"/>
      <c r="CC28" s="10"/>
      <c r="CD28" s="9">
        <f t="shared" si="38"/>
        <v>0</v>
      </c>
      <c r="CE28" s="8">
        <f t="shared" si="39"/>
        <v>0</v>
      </c>
      <c r="CF28" s="7"/>
      <c r="CG28" s="10"/>
      <c r="CH28" s="9">
        <f t="shared" si="40"/>
        <v>0</v>
      </c>
      <c r="CI28" s="8">
        <f t="shared" si="41"/>
        <v>0</v>
      </c>
      <c r="CJ28" s="7"/>
      <c r="CK28" s="10"/>
      <c r="CL28" s="9">
        <f t="shared" si="42"/>
        <v>0</v>
      </c>
      <c r="CM28" s="8">
        <f t="shared" si="43"/>
        <v>0</v>
      </c>
      <c r="CN28" s="7"/>
      <c r="CO28" s="10"/>
      <c r="CP28" s="9">
        <f t="shared" si="44"/>
        <v>0</v>
      </c>
      <c r="CQ28" s="8">
        <f t="shared" si="45"/>
        <v>0</v>
      </c>
      <c r="CR28" s="7"/>
      <c r="CS28" s="10"/>
      <c r="CT28" s="9">
        <f t="shared" si="46"/>
        <v>0</v>
      </c>
      <c r="CU28" s="8">
        <f t="shared" si="47"/>
        <v>0</v>
      </c>
      <c r="CV28" s="7"/>
      <c r="CW28" s="10"/>
      <c r="CX28" s="9">
        <f t="shared" si="48"/>
        <v>0</v>
      </c>
      <c r="CY28" s="8">
        <f t="shared" si="49"/>
        <v>0</v>
      </c>
      <c r="CZ28" s="7"/>
      <c r="DA28" s="10"/>
      <c r="DB28" s="9">
        <f t="shared" si="50"/>
        <v>0</v>
      </c>
      <c r="DC28" s="8">
        <f t="shared" si="51"/>
        <v>0</v>
      </c>
      <c r="DD28" s="7"/>
      <c r="DE28" s="10"/>
      <c r="DF28" s="9">
        <f t="shared" si="52"/>
        <v>0</v>
      </c>
      <c r="DG28" s="8">
        <f t="shared" si="53"/>
        <v>0</v>
      </c>
      <c r="DH28" s="7"/>
      <c r="DI28" s="10"/>
      <c r="DJ28" s="9">
        <f t="shared" si="54"/>
        <v>0</v>
      </c>
      <c r="DK28" s="8">
        <f t="shared" si="55"/>
        <v>0</v>
      </c>
    </row>
    <row r="29" spans="1:115" ht="16" customHeight="1" thickBot="1">
      <c r="A29" s="134" t="s">
        <v>72</v>
      </c>
      <c r="B29" s="133" t="s">
        <v>137</v>
      </c>
      <c r="C29" s="124" t="s">
        <v>137</v>
      </c>
      <c r="D29" s="122"/>
      <c r="E29" s="10"/>
      <c r="F29" s="9">
        <f t="shared" si="0"/>
        <v>0</v>
      </c>
      <c r="G29" s="8">
        <f t="shared" si="1"/>
        <v>0</v>
      </c>
      <c r="H29" s="7"/>
      <c r="I29" s="10"/>
      <c r="J29" s="9">
        <f t="shared" si="2"/>
        <v>0</v>
      </c>
      <c r="K29" s="8">
        <f t="shared" si="3"/>
        <v>0</v>
      </c>
      <c r="L29" s="10"/>
      <c r="M29" s="10"/>
      <c r="N29" s="9">
        <f t="shared" si="4"/>
        <v>0</v>
      </c>
      <c r="O29" s="8">
        <f t="shared" si="5"/>
        <v>0</v>
      </c>
      <c r="P29" s="7"/>
      <c r="Q29" s="10"/>
      <c r="R29" s="9">
        <f t="shared" si="6"/>
        <v>0</v>
      </c>
      <c r="S29" s="8">
        <f t="shared" si="7"/>
        <v>0</v>
      </c>
      <c r="T29" s="7"/>
      <c r="U29" s="10"/>
      <c r="V29" s="9">
        <f t="shared" si="8"/>
        <v>0</v>
      </c>
      <c r="W29" s="8">
        <f t="shared" si="9"/>
        <v>0</v>
      </c>
      <c r="X29" s="7"/>
      <c r="Y29" s="10"/>
      <c r="Z29" s="9">
        <f t="shared" si="10"/>
        <v>0</v>
      </c>
      <c r="AA29" s="8">
        <f t="shared" si="11"/>
        <v>0</v>
      </c>
      <c r="AB29" s="7"/>
      <c r="AC29" s="10"/>
      <c r="AD29" s="9">
        <f t="shared" si="12"/>
        <v>0</v>
      </c>
      <c r="AE29" s="8">
        <f t="shared" si="13"/>
        <v>0</v>
      </c>
      <c r="AF29" s="7"/>
      <c r="AG29" s="10"/>
      <c r="AH29" s="9">
        <f t="shared" si="14"/>
        <v>0</v>
      </c>
      <c r="AI29" s="8">
        <f t="shared" si="15"/>
        <v>0</v>
      </c>
      <c r="AJ29" s="7"/>
      <c r="AK29" s="10"/>
      <c r="AL29" s="9">
        <f t="shared" si="16"/>
        <v>0</v>
      </c>
      <c r="AM29" s="8">
        <f t="shared" si="17"/>
        <v>0</v>
      </c>
      <c r="AN29" s="7"/>
      <c r="AO29" s="10"/>
      <c r="AP29" s="9">
        <f t="shared" si="18"/>
        <v>0</v>
      </c>
      <c r="AQ29" s="8">
        <f t="shared" si="19"/>
        <v>0</v>
      </c>
      <c r="AR29" s="7"/>
      <c r="AS29" s="10"/>
      <c r="AT29" s="9">
        <f t="shared" si="20"/>
        <v>0</v>
      </c>
      <c r="AU29" s="8">
        <f t="shared" si="21"/>
        <v>0</v>
      </c>
      <c r="AV29" s="7"/>
      <c r="AW29" s="10"/>
      <c r="AX29" s="9">
        <f t="shared" si="22"/>
        <v>0</v>
      </c>
      <c r="AY29" s="8">
        <f t="shared" si="23"/>
        <v>0</v>
      </c>
      <c r="AZ29" s="7"/>
      <c r="BA29" s="10"/>
      <c r="BB29" s="9">
        <f t="shared" si="24"/>
        <v>0</v>
      </c>
      <c r="BC29" s="8">
        <f t="shared" si="25"/>
        <v>0</v>
      </c>
      <c r="BD29" s="7"/>
      <c r="BE29" s="10"/>
      <c r="BF29" s="9">
        <f t="shared" si="26"/>
        <v>0</v>
      </c>
      <c r="BG29" s="8">
        <f t="shared" si="27"/>
        <v>0</v>
      </c>
      <c r="BH29" s="7"/>
      <c r="BI29" s="10"/>
      <c r="BJ29" s="9">
        <f t="shared" si="28"/>
        <v>0</v>
      </c>
      <c r="BK29" s="8">
        <f t="shared" si="29"/>
        <v>0</v>
      </c>
      <c r="BL29" s="7"/>
      <c r="BM29" s="10"/>
      <c r="BN29" s="9">
        <f t="shared" si="30"/>
        <v>0</v>
      </c>
      <c r="BO29" s="8">
        <f t="shared" si="31"/>
        <v>0</v>
      </c>
      <c r="BP29" s="7"/>
      <c r="BQ29" s="10"/>
      <c r="BR29" s="9">
        <f t="shared" si="32"/>
        <v>0</v>
      </c>
      <c r="BS29" s="8">
        <f t="shared" si="33"/>
        <v>0</v>
      </c>
      <c r="BT29" s="7"/>
      <c r="BU29" s="10"/>
      <c r="BV29" s="9">
        <f t="shared" si="34"/>
        <v>0</v>
      </c>
      <c r="BW29" s="8">
        <f t="shared" si="35"/>
        <v>0</v>
      </c>
      <c r="BX29" s="7"/>
      <c r="BY29" s="10"/>
      <c r="BZ29" s="9">
        <f t="shared" si="36"/>
        <v>0</v>
      </c>
      <c r="CA29" s="8">
        <f t="shared" si="37"/>
        <v>0</v>
      </c>
      <c r="CB29" s="7"/>
      <c r="CC29" s="10"/>
      <c r="CD29" s="9">
        <f t="shared" si="38"/>
        <v>0</v>
      </c>
      <c r="CE29" s="8">
        <f t="shared" si="39"/>
        <v>0</v>
      </c>
      <c r="CF29" s="7"/>
      <c r="CG29" s="10"/>
      <c r="CH29" s="9">
        <f t="shared" si="40"/>
        <v>0</v>
      </c>
      <c r="CI29" s="8">
        <f t="shared" si="41"/>
        <v>0</v>
      </c>
      <c r="CJ29" s="7"/>
      <c r="CK29" s="10"/>
      <c r="CL29" s="9">
        <f t="shared" si="42"/>
        <v>0</v>
      </c>
      <c r="CM29" s="8">
        <f t="shared" si="43"/>
        <v>0</v>
      </c>
      <c r="CN29" s="7"/>
      <c r="CO29" s="10"/>
      <c r="CP29" s="9">
        <f t="shared" si="44"/>
        <v>0</v>
      </c>
      <c r="CQ29" s="8">
        <f t="shared" si="45"/>
        <v>0</v>
      </c>
      <c r="CR29" s="7"/>
      <c r="CS29" s="10"/>
      <c r="CT29" s="9">
        <f t="shared" si="46"/>
        <v>0</v>
      </c>
      <c r="CU29" s="8">
        <f t="shared" si="47"/>
        <v>0</v>
      </c>
      <c r="CV29" s="7"/>
      <c r="CW29" s="10"/>
      <c r="CX29" s="9">
        <f t="shared" si="48"/>
        <v>0</v>
      </c>
      <c r="CY29" s="8">
        <f t="shared" si="49"/>
        <v>0</v>
      </c>
      <c r="CZ29" s="7"/>
      <c r="DA29" s="10"/>
      <c r="DB29" s="9">
        <f t="shared" si="50"/>
        <v>0</v>
      </c>
      <c r="DC29" s="8">
        <f t="shared" si="51"/>
        <v>0</v>
      </c>
      <c r="DD29" s="7"/>
      <c r="DE29" s="10"/>
      <c r="DF29" s="9">
        <f t="shared" si="52"/>
        <v>0</v>
      </c>
      <c r="DG29" s="8">
        <f t="shared" si="53"/>
        <v>0</v>
      </c>
      <c r="DH29" s="7"/>
      <c r="DI29" s="10"/>
      <c r="DJ29" s="9">
        <f t="shared" si="54"/>
        <v>0</v>
      </c>
      <c r="DK29" s="8">
        <f t="shared" si="55"/>
        <v>0</v>
      </c>
    </row>
    <row r="30" spans="1:115" ht="16" customHeight="1" thickBot="1">
      <c r="A30" s="134" t="s">
        <v>73</v>
      </c>
      <c r="B30" s="133" t="s">
        <v>137</v>
      </c>
      <c r="C30" s="124" t="s">
        <v>137</v>
      </c>
      <c r="D30" s="122"/>
      <c r="E30" s="10"/>
      <c r="F30" s="9">
        <f t="shared" si="0"/>
        <v>0</v>
      </c>
      <c r="G30" s="8">
        <f t="shared" si="1"/>
        <v>0</v>
      </c>
      <c r="H30" s="7"/>
      <c r="I30" s="10"/>
      <c r="J30" s="9">
        <f t="shared" si="2"/>
        <v>0</v>
      </c>
      <c r="K30" s="8">
        <f t="shared" si="3"/>
        <v>0</v>
      </c>
      <c r="L30" s="10"/>
      <c r="M30" s="10"/>
      <c r="N30" s="9">
        <f t="shared" si="4"/>
        <v>0</v>
      </c>
      <c r="O30" s="8">
        <f t="shared" si="5"/>
        <v>0</v>
      </c>
      <c r="P30" s="7"/>
      <c r="Q30" s="10"/>
      <c r="R30" s="9">
        <f t="shared" si="6"/>
        <v>0</v>
      </c>
      <c r="S30" s="8">
        <f t="shared" si="7"/>
        <v>0</v>
      </c>
      <c r="T30" s="7"/>
      <c r="U30" s="10"/>
      <c r="V30" s="9">
        <f t="shared" si="8"/>
        <v>0</v>
      </c>
      <c r="W30" s="8">
        <f t="shared" si="9"/>
        <v>0</v>
      </c>
      <c r="X30" s="7"/>
      <c r="Y30" s="10"/>
      <c r="Z30" s="9">
        <f t="shared" si="10"/>
        <v>0</v>
      </c>
      <c r="AA30" s="8">
        <f t="shared" si="11"/>
        <v>0</v>
      </c>
      <c r="AB30" s="7"/>
      <c r="AC30" s="10"/>
      <c r="AD30" s="9">
        <f t="shared" si="12"/>
        <v>0</v>
      </c>
      <c r="AE30" s="8">
        <f t="shared" si="13"/>
        <v>0</v>
      </c>
      <c r="AF30" s="7"/>
      <c r="AG30" s="10"/>
      <c r="AH30" s="9">
        <f t="shared" si="14"/>
        <v>0</v>
      </c>
      <c r="AI30" s="8">
        <f t="shared" si="15"/>
        <v>0</v>
      </c>
      <c r="AJ30" s="7"/>
      <c r="AK30" s="10"/>
      <c r="AL30" s="9">
        <f t="shared" si="16"/>
        <v>0</v>
      </c>
      <c r="AM30" s="8">
        <f t="shared" si="17"/>
        <v>0</v>
      </c>
      <c r="AN30" s="7"/>
      <c r="AO30" s="10"/>
      <c r="AP30" s="9">
        <f t="shared" si="18"/>
        <v>0</v>
      </c>
      <c r="AQ30" s="8">
        <f t="shared" si="19"/>
        <v>0</v>
      </c>
      <c r="AR30" s="7"/>
      <c r="AS30" s="10"/>
      <c r="AT30" s="9">
        <f t="shared" si="20"/>
        <v>0</v>
      </c>
      <c r="AU30" s="8">
        <f t="shared" si="21"/>
        <v>0</v>
      </c>
      <c r="AV30" s="7"/>
      <c r="AW30" s="10"/>
      <c r="AX30" s="9">
        <f t="shared" si="22"/>
        <v>0</v>
      </c>
      <c r="AY30" s="8">
        <f t="shared" si="23"/>
        <v>0</v>
      </c>
      <c r="AZ30" s="7"/>
      <c r="BA30" s="10"/>
      <c r="BB30" s="9">
        <f t="shared" si="24"/>
        <v>0</v>
      </c>
      <c r="BC30" s="8">
        <f t="shared" si="25"/>
        <v>0</v>
      </c>
      <c r="BD30" s="7"/>
      <c r="BE30" s="10"/>
      <c r="BF30" s="9">
        <f t="shared" si="26"/>
        <v>0</v>
      </c>
      <c r="BG30" s="8">
        <f t="shared" si="27"/>
        <v>0</v>
      </c>
      <c r="BH30" s="7"/>
      <c r="BI30" s="10"/>
      <c r="BJ30" s="9">
        <f t="shared" si="28"/>
        <v>0</v>
      </c>
      <c r="BK30" s="8">
        <f t="shared" si="29"/>
        <v>0</v>
      </c>
      <c r="BL30" s="7"/>
      <c r="BM30" s="10"/>
      <c r="BN30" s="9">
        <f t="shared" si="30"/>
        <v>0</v>
      </c>
      <c r="BO30" s="8">
        <f t="shared" si="31"/>
        <v>0</v>
      </c>
      <c r="BP30" s="7"/>
      <c r="BQ30" s="10"/>
      <c r="BR30" s="9">
        <f t="shared" si="32"/>
        <v>0</v>
      </c>
      <c r="BS30" s="8">
        <f t="shared" si="33"/>
        <v>0</v>
      </c>
      <c r="BT30" s="7"/>
      <c r="BU30" s="10"/>
      <c r="BV30" s="9">
        <f t="shared" si="34"/>
        <v>0</v>
      </c>
      <c r="BW30" s="8">
        <f t="shared" si="35"/>
        <v>0</v>
      </c>
      <c r="BX30" s="7"/>
      <c r="BY30" s="10"/>
      <c r="BZ30" s="9">
        <f t="shared" si="36"/>
        <v>0</v>
      </c>
      <c r="CA30" s="8">
        <f t="shared" si="37"/>
        <v>0</v>
      </c>
      <c r="CB30" s="7"/>
      <c r="CC30" s="10"/>
      <c r="CD30" s="9">
        <f t="shared" si="38"/>
        <v>0</v>
      </c>
      <c r="CE30" s="8">
        <f t="shared" si="39"/>
        <v>0</v>
      </c>
      <c r="CF30" s="7"/>
      <c r="CG30" s="10"/>
      <c r="CH30" s="9">
        <f t="shared" si="40"/>
        <v>0</v>
      </c>
      <c r="CI30" s="8">
        <f t="shared" si="41"/>
        <v>0</v>
      </c>
      <c r="CJ30" s="7"/>
      <c r="CK30" s="10"/>
      <c r="CL30" s="9">
        <f t="shared" si="42"/>
        <v>0</v>
      </c>
      <c r="CM30" s="8">
        <f t="shared" si="43"/>
        <v>0</v>
      </c>
      <c r="CN30" s="7"/>
      <c r="CO30" s="10"/>
      <c r="CP30" s="9">
        <f t="shared" si="44"/>
        <v>0</v>
      </c>
      <c r="CQ30" s="8">
        <f t="shared" si="45"/>
        <v>0</v>
      </c>
      <c r="CR30" s="7"/>
      <c r="CS30" s="10"/>
      <c r="CT30" s="9">
        <f t="shared" si="46"/>
        <v>0</v>
      </c>
      <c r="CU30" s="8">
        <f t="shared" si="47"/>
        <v>0</v>
      </c>
      <c r="CV30" s="7"/>
      <c r="CW30" s="10"/>
      <c r="CX30" s="9">
        <f t="shared" si="48"/>
        <v>0</v>
      </c>
      <c r="CY30" s="8">
        <f t="shared" si="49"/>
        <v>0</v>
      </c>
      <c r="CZ30" s="7"/>
      <c r="DA30" s="10"/>
      <c r="DB30" s="9">
        <f t="shared" si="50"/>
        <v>0</v>
      </c>
      <c r="DC30" s="8">
        <f t="shared" si="51"/>
        <v>0</v>
      </c>
      <c r="DD30" s="7"/>
      <c r="DE30" s="10"/>
      <c r="DF30" s="9">
        <f t="shared" si="52"/>
        <v>0</v>
      </c>
      <c r="DG30" s="8">
        <f t="shared" si="53"/>
        <v>0</v>
      </c>
      <c r="DH30" s="7"/>
      <c r="DI30" s="10"/>
      <c r="DJ30" s="9">
        <f t="shared" si="54"/>
        <v>0</v>
      </c>
      <c r="DK30" s="8">
        <f t="shared" si="55"/>
        <v>0</v>
      </c>
    </row>
    <row r="31" spans="1:115" ht="16" customHeight="1" thickBot="1">
      <c r="A31" s="134" t="s">
        <v>74</v>
      </c>
      <c r="B31" s="133" t="s">
        <v>137</v>
      </c>
      <c r="C31" s="124" t="s">
        <v>137</v>
      </c>
      <c r="D31" s="122"/>
      <c r="E31" s="10"/>
      <c r="F31" s="9">
        <f t="shared" si="0"/>
        <v>0</v>
      </c>
      <c r="G31" s="8">
        <f t="shared" si="1"/>
        <v>0</v>
      </c>
      <c r="H31" s="7"/>
      <c r="I31" s="10"/>
      <c r="J31" s="9">
        <f t="shared" si="2"/>
        <v>0</v>
      </c>
      <c r="K31" s="8">
        <f t="shared" si="3"/>
        <v>0</v>
      </c>
      <c r="L31" s="10"/>
      <c r="M31" s="10"/>
      <c r="N31" s="9">
        <f t="shared" si="4"/>
        <v>0</v>
      </c>
      <c r="O31" s="8">
        <f t="shared" si="5"/>
        <v>0</v>
      </c>
      <c r="P31" s="7"/>
      <c r="Q31" s="10"/>
      <c r="R31" s="9">
        <f t="shared" si="6"/>
        <v>0</v>
      </c>
      <c r="S31" s="8">
        <f t="shared" si="7"/>
        <v>0</v>
      </c>
      <c r="T31" s="7"/>
      <c r="U31" s="10"/>
      <c r="V31" s="9">
        <f t="shared" si="8"/>
        <v>0</v>
      </c>
      <c r="W31" s="8">
        <f t="shared" si="9"/>
        <v>0</v>
      </c>
      <c r="X31" s="7"/>
      <c r="Y31" s="10"/>
      <c r="Z31" s="9">
        <f t="shared" si="10"/>
        <v>0</v>
      </c>
      <c r="AA31" s="8">
        <f t="shared" si="11"/>
        <v>0</v>
      </c>
      <c r="AB31" s="7"/>
      <c r="AC31" s="10"/>
      <c r="AD31" s="9">
        <f t="shared" si="12"/>
        <v>0</v>
      </c>
      <c r="AE31" s="8">
        <f t="shared" si="13"/>
        <v>0</v>
      </c>
      <c r="AF31" s="7"/>
      <c r="AG31" s="10"/>
      <c r="AH31" s="9">
        <f t="shared" si="14"/>
        <v>0</v>
      </c>
      <c r="AI31" s="8">
        <f t="shared" si="15"/>
        <v>0</v>
      </c>
      <c r="AJ31" s="7"/>
      <c r="AK31" s="10"/>
      <c r="AL31" s="9">
        <f t="shared" si="16"/>
        <v>0</v>
      </c>
      <c r="AM31" s="8">
        <f t="shared" si="17"/>
        <v>0</v>
      </c>
      <c r="AN31" s="7"/>
      <c r="AO31" s="10"/>
      <c r="AP31" s="9">
        <f t="shared" si="18"/>
        <v>0</v>
      </c>
      <c r="AQ31" s="8">
        <f t="shared" si="19"/>
        <v>0</v>
      </c>
      <c r="AR31" s="7"/>
      <c r="AS31" s="10"/>
      <c r="AT31" s="9">
        <f t="shared" si="20"/>
        <v>0</v>
      </c>
      <c r="AU31" s="8">
        <f t="shared" si="21"/>
        <v>0</v>
      </c>
      <c r="AV31" s="7"/>
      <c r="AW31" s="10"/>
      <c r="AX31" s="9">
        <f t="shared" si="22"/>
        <v>0</v>
      </c>
      <c r="AY31" s="8">
        <f t="shared" si="23"/>
        <v>0</v>
      </c>
      <c r="AZ31" s="7"/>
      <c r="BA31" s="10"/>
      <c r="BB31" s="9">
        <f t="shared" si="24"/>
        <v>0</v>
      </c>
      <c r="BC31" s="8">
        <f t="shared" si="25"/>
        <v>0</v>
      </c>
      <c r="BD31" s="7"/>
      <c r="BE31" s="10"/>
      <c r="BF31" s="9">
        <f t="shared" si="26"/>
        <v>0</v>
      </c>
      <c r="BG31" s="8">
        <f t="shared" si="27"/>
        <v>0</v>
      </c>
      <c r="BH31" s="7"/>
      <c r="BI31" s="10"/>
      <c r="BJ31" s="9">
        <f t="shared" si="28"/>
        <v>0</v>
      </c>
      <c r="BK31" s="8">
        <f t="shared" si="29"/>
        <v>0</v>
      </c>
      <c r="BL31" s="7"/>
      <c r="BM31" s="10"/>
      <c r="BN31" s="9">
        <f t="shared" si="30"/>
        <v>0</v>
      </c>
      <c r="BO31" s="8">
        <f t="shared" si="31"/>
        <v>0</v>
      </c>
      <c r="BP31" s="7"/>
      <c r="BQ31" s="10"/>
      <c r="BR31" s="9">
        <f t="shared" si="32"/>
        <v>0</v>
      </c>
      <c r="BS31" s="8">
        <f t="shared" si="33"/>
        <v>0</v>
      </c>
      <c r="BT31" s="7"/>
      <c r="BU31" s="10"/>
      <c r="BV31" s="9">
        <f t="shared" si="34"/>
        <v>0</v>
      </c>
      <c r="BW31" s="8">
        <f t="shared" si="35"/>
        <v>0</v>
      </c>
      <c r="BX31" s="7"/>
      <c r="BY31" s="10"/>
      <c r="BZ31" s="9">
        <f t="shared" si="36"/>
        <v>0</v>
      </c>
      <c r="CA31" s="8">
        <f t="shared" si="37"/>
        <v>0</v>
      </c>
      <c r="CB31" s="7"/>
      <c r="CC31" s="10"/>
      <c r="CD31" s="9">
        <f t="shared" si="38"/>
        <v>0</v>
      </c>
      <c r="CE31" s="8">
        <f t="shared" si="39"/>
        <v>0</v>
      </c>
      <c r="CF31" s="7"/>
      <c r="CG31" s="10"/>
      <c r="CH31" s="9">
        <f t="shared" si="40"/>
        <v>0</v>
      </c>
      <c r="CI31" s="8">
        <f t="shared" si="41"/>
        <v>0</v>
      </c>
      <c r="CJ31" s="7"/>
      <c r="CK31" s="10"/>
      <c r="CL31" s="9">
        <f t="shared" si="42"/>
        <v>0</v>
      </c>
      <c r="CM31" s="8">
        <f t="shared" si="43"/>
        <v>0</v>
      </c>
      <c r="CN31" s="7"/>
      <c r="CO31" s="10"/>
      <c r="CP31" s="9">
        <f t="shared" si="44"/>
        <v>0</v>
      </c>
      <c r="CQ31" s="8">
        <f t="shared" si="45"/>
        <v>0</v>
      </c>
      <c r="CR31" s="7"/>
      <c r="CS31" s="10"/>
      <c r="CT31" s="9">
        <f t="shared" si="46"/>
        <v>0</v>
      </c>
      <c r="CU31" s="8">
        <f t="shared" si="47"/>
        <v>0</v>
      </c>
      <c r="CV31" s="7"/>
      <c r="CW31" s="10"/>
      <c r="CX31" s="9">
        <f t="shared" si="48"/>
        <v>0</v>
      </c>
      <c r="CY31" s="8">
        <f t="shared" si="49"/>
        <v>0</v>
      </c>
      <c r="CZ31" s="7"/>
      <c r="DA31" s="10"/>
      <c r="DB31" s="9">
        <f t="shared" si="50"/>
        <v>0</v>
      </c>
      <c r="DC31" s="8">
        <f t="shared" si="51"/>
        <v>0</v>
      </c>
      <c r="DD31" s="7"/>
      <c r="DE31" s="10"/>
      <c r="DF31" s="9">
        <f t="shared" si="52"/>
        <v>0</v>
      </c>
      <c r="DG31" s="8">
        <f t="shared" si="53"/>
        <v>0</v>
      </c>
      <c r="DH31" s="7"/>
      <c r="DI31" s="10"/>
      <c r="DJ31" s="9">
        <f t="shared" si="54"/>
        <v>0</v>
      </c>
      <c r="DK31" s="8">
        <f t="shared" si="55"/>
        <v>0</v>
      </c>
    </row>
    <row r="32" spans="1:115" ht="16" customHeight="1" thickBot="1">
      <c r="A32" s="134" t="s">
        <v>75</v>
      </c>
      <c r="B32" s="133" t="s">
        <v>137</v>
      </c>
      <c r="C32" s="124" t="s">
        <v>137</v>
      </c>
      <c r="D32" s="122"/>
      <c r="E32" s="10"/>
      <c r="F32" s="9">
        <f t="shared" si="0"/>
        <v>0</v>
      </c>
      <c r="G32" s="8">
        <f t="shared" si="1"/>
        <v>0</v>
      </c>
      <c r="H32" s="7"/>
      <c r="I32" s="10"/>
      <c r="J32" s="9">
        <f t="shared" si="2"/>
        <v>0</v>
      </c>
      <c r="K32" s="8">
        <f t="shared" si="3"/>
        <v>0</v>
      </c>
      <c r="L32" s="10"/>
      <c r="M32" s="10"/>
      <c r="N32" s="9">
        <f t="shared" si="4"/>
        <v>0</v>
      </c>
      <c r="O32" s="8">
        <f t="shared" si="5"/>
        <v>0</v>
      </c>
      <c r="P32" s="7"/>
      <c r="Q32" s="10"/>
      <c r="R32" s="9">
        <f t="shared" si="6"/>
        <v>0</v>
      </c>
      <c r="S32" s="8">
        <f t="shared" si="7"/>
        <v>0</v>
      </c>
      <c r="T32" s="7"/>
      <c r="U32" s="10"/>
      <c r="V32" s="9">
        <f t="shared" si="8"/>
        <v>0</v>
      </c>
      <c r="W32" s="8">
        <f t="shared" si="9"/>
        <v>0</v>
      </c>
      <c r="X32" s="7"/>
      <c r="Y32" s="10" t="s">
        <v>135</v>
      </c>
      <c r="Z32" s="9">
        <f t="shared" si="10"/>
        <v>0</v>
      </c>
      <c r="AA32" s="8">
        <f t="shared" si="11"/>
        <v>0</v>
      </c>
      <c r="AB32" s="7"/>
      <c r="AC32" s="10" t="s">
        <v>135</v>
      </c>
      <c r="AD32" s="9">
        <f t="shared" si="12"/>
        <v>0</v>
      </c>
      <c r="AE32" s="8">
        <f t="shared" si="13"/>
        <v>0</v>
      </c>
      <c r="AF32" s="7"/>
      <c r="AG32" s="10"/>
      <c r="AH32" s="9">
        <f t="shared" si="14"/>
        <v>0</v>
      </c>
      <c r="AI32" s="8">
        <f t="shared" si="15"/>
        <v>0</v>
      </c>
      <c r="AJ32" s="7"/>
      <c r="AK32" s="10"/>
      <c r="AL32" s="9">
        <f t="shared" si="16"/>
        <v>0</v>
      </c>
      <c r="AM32" s="8">
        <f t="shared" si="17"/>
        <v>0</v>
      </c>
      <c r="AN32" s="7"/>
      <c r="AO32" s="10"/>
      <c r="AP32" s="9">
        <f t="shared" si="18"/>
        <v>0</v>
      </c>
      <c r="AQ32" s="8">
        <f t="shared" si="19"/>
        <v>0</v>
      </c>
      <c r="AR32" s="7"/>
      <c r="AS32" s="10"/>
      <c r="AT32" s="9">
        <f t="shared" si="20"/>
        <v>0</v>
      </c>
      <c r="AU32" s="8">
        <f t="shared" si="21"/>
        <v>0</v>
      </c>
      <c r="AV32" s="7"/>
      <c r="AW32" s="10"/>
      <c r="AX32" s="9">
        <f t="shared" si="22"/>
        <v>0</v>
      </c>
      <c r="AY32" s="8">
        <f t="shared" si="23"/>
        <v>0</v>
      </c>
      <c r="AZ32" s="7"/>
      <c r="BA32" s="10" t="s">
        <v>135</v>
      </c>
      <c r="BB32" s="9">
        <f t="shared" si="24"/>
        <v>0</v>
      </c>
      <c r="BC32" s="8">
        <f t="shared" si="25"/>
        <v>0</v>
      </c>
      <c r="BD32" s="7"/>
      <c r="BE32" s="10"/>
      <c r="BF32" s="9">
        <f t="shared" si="26"/>
        <v>0</v>
      </c>
      <c r="BG32" s="8">
        <f t="shared" si="27"/>
        <v>0</v>
      </c>
      <c r="BH32" s="7"/>
      <c r="BI32" s="10"/>
      <c r="BJ32" s="9">
        <f t="shared" si="28"/>
        <v>0</v>
      </c>
      <c r="BK32" s="8">
        <f t="shared" si="29"/>
        <v>0</v>
      </c>
      <c r="BL32" s="7"/>
      <c r="BM32" s="10"/>
      <c r="BN32" s="9">
        <f t="shared" si="30"/>
        <v>0</v>
      </c>
      <c r="BO32" s="8">
        <f t="shared" si="31"/>
        <v>0</v>
      </c>
      <c r="BP32" s="7"/>
      <c r="BQ32" s="10"/>
      <c r="BR32" s="9">
        <f t="shared" si="32"/>
        <v>0</v>
      </c>
      <c r="BS32" s="8">
        <f t="shared" si="33"/>
        <v>0</v>
      </c>
      <c r="BT32" s="7"/>
      <c r="BU32" s="10"/>
      <c r="BV32" s="9">
        <f t="shared" si="34"/>
        <v>0</v>
      </c>
      <c r="BW32" s="8">
        <f t="shared" si="35"/>
        <v>0</v>
      </c>
      <c r="BX32" s="7"/>
      <c r="BY32" s="10"/>
      <c r="BZ32" s="9">
        <f t="shared" si="36"/>
        <v>0</v>
      </c>
      <c r="CA32" s="8">
        <f t="shared" si="37"/>
        <v>0</v>
      </c>
      <c r="CB32" s="7"/>
      <c r="CC32" s="10"/>
      <c r="CD32" s="9">
        <f t="shared" si="38"/>
        <v>0</v>
      </c>
      <c r="CE32" s="8">
        <f t="shared" si="39"/>
        <v>0</v>
      </c>
      <c r="CF32" s="7"/>
      <c r="CG32" s="10"/>
      <c r="CH32" s="9">
        <f t="shared" si="40"/>
        <v>0</v>
      </c>
      <c r="CI32" s="8">
        <f t="shared" si="41"/>
        <v>0</v>
      </c>
      <c r="CJ32" s="7"/>
      <c r="CK32" s="10"/>
      <c r="CL32" s="9">
        <f t="shared" si="42"/>
        <v>0</v>
      </c>
      <c r="CM32" s="8">
        <f t="shared" si="43"/>
        <v>0</v>
      </c>
      <c r="CN32" s="7"/>
      <c r="CO32" s="10"/>
      <c r="CP32" s="9">
        <f t="shared" si="44"/>
        <v>0</v>
      </c>
      <c r="CQ32" s="8">
        <f t="shared" si="45"/>
        <v>0</v>
      </c>
      <c r="CR32" s="7"/>
      <c r="CS32" s="10"/>
      <c r="CT32" s="9">
        <f t="shared" si="46"/>
        <v>0</v>
      </c>
      <c r="CU32" s="8">
        <f t="shared" si="47"/>
        <v>0</v>
      </c>
      <c r="CV32" s="7"/>
      <c r="CW32" s="10"/>
      <c r="CX32" s="9">
        <f t="shared" si="48"/>
        <v>0</v>
      </c>
      <c r="CY32" s="8">
        <f t="shared" si="49"/>
        <v>0</v>
      </c>
      <c r="CZ32" s="7"/>
      <c r="DA32" s="10"/>
      <c r="DB32" s="9">
        <f t="shared" si="50"/>
        <v>0</v>
      </c>
      <c r="DC32" s="8">
        <f t="shared" si="51"/>
        <v>0</v>
      </c>
      <c r="DD32" s="7"/>
      <c r="DE32" s="10" t="s">
        <v>135</v>
      </c>
      <c r="DF32" s="9">
        <f t="shared" si="52"/>
        <v>0</v>
      </c>
      <c r="DG32" s="8">
        <f t="shared" si="53"/>
        <v>0</v>
      </c>
      <c r="DH32" s="7"/>
      <c r="DI32" s="10" t="s">
        <v>135</v>
      </c>
      <c r="DJ32" s="9">
        <f t="shared" si="54"/>
        <v>0</v>
      </c>
      <c r="DK32" s="8">
        <f t="shared" si="55"/>
        <v>0</v>
      </c>
    </row>
    <row r="33" spans="1:115" ht="16" customHeight="1" thickBot="1">
      <c r="A33" s="134" t="s">
        <v>76</v>
      </c>
      <c r="B33" s="133" t="s">
        <v>137</v>
      </c>
      <c r="C33" s="124" t="s">
        <v>137</v>
      </c>
      <c r="D33" s="122"/>
      <c r="E33" s="10"/>
      <c r="F33" s="9">
        <f t="shared" si="0"/>
        <v>0</v>
      </c>
      <c r="G33" s="8">
        <f t="shared" si="1"/>
        <v>0</v>
      </c>
      <c r="H33" s="7"/>
      <c r="I33" s="10"/>
      <c r="J33" s="9">
        <f t="shared" si="2"/>
        <v>0</v>
      </c>
      <c r="K33" s="8">
        <f t="shared" si="3"/>
        <v>0</v>
      </c>
      <c r="L33" s="10"/>
      <c r="M33" s="10"/>
      <c r="N33" s="9">
        <f t="shared" si="4"/>
        <v>0</v>
      </c>
      <c r="O33" s="8">
        <f t="shared" si="5"/>
        <v>0</v>
      </c>
      <c r="P33" s="7"/>
      <c r="Q33" s="10"/>
      <c r="R33" s="9">
        <f t="shared" si="6"/>
        <v>0</v>
      </c>
      <c r="S33" s="8">
        <f t="shared" si="7"/>
        <v>0</v>
      </c>
      <c r="T33" s="7"/>
      <c r="U33" s="10"/>
      <c r="V33" s="9">
        <f t="shared" si="8"/>
        <v>0</v>
      </c>
      <c r="W33" s="8">
        <f t="shared" si="9"/>
        <v>0</v>
      </c>
      <c r="X33" s="7"/>
      <c r="Y33" s="10"/>
      <c r="Z33" s="9">
        <f t="shared" si="10"/>
        <v>0</v>
      </c>
      <c r="AA33" s="8">
        <f t="shared" si="11"/>
        <v>0</v>
      </c>
      <c r="AB33" s="7"/>
      <c r="AC33" s="10"/>
      <c r="AD33" s="9">
        <f t="shared" si="12"/>
        <v>0</v>
      </c>
      <c r="AE33" s="8">
        <f t="shared" si="13"/>
        <v>0</v>
      </c>
      <c r="AF33" s="7"/>
      <c r="AG33" s="10"/>
      <c r="AH33" s="9">
        <f t="shared" si="14"/>
        <v>0</v>
      </c>
      <c r="AI33" s="8">
        <f t="shared" si="15"/>
        <v>0</v>
      </c>
      <c r="AJ33" s="7"/>
      <c r="AK33" s="10"/>
      <c r="AL33" s="9">
        <f t="shared" si="16"/>
        <v>0</v>
      </c>
      <c r="AM33" s="8">
        <f t="shared" si="17"/>
        <v>0</v>
      </c>
      <c r="AN33" s="7"/>
      <c r="AO33" s="10"/>
      <c r="AP33" s="9">
        <f t="shared" si="18"/>
        <v>0</v>
      </c>
      <c r="AQ33" s="8">
        <f t="shared" si="19"/>
        <v>0</v>
      </c>
      <c r="AR33" s="7"/>
      <c r="AS33" s="10"/>
      <c r="AT33" s="9">
        <f t="shared" si="20"/>
        <v>0</v>
      </c>
      <c r="AU33" s="8">
        <f t="shared" si="21"/>
        <v>0</v>
      </c>
      <c r="AV33" s="7"/>
      <c r="AW33" s="10"/>
      <c r="AX33" s="9">
        <f t="shared" si="22"/>
        <v>0</v>
      </c>
      <c r="AY33" s="8">
        <f t="shared" si="23"/>
        <v>0</v>
      </c>
      <c r="AZ33" s="7"/>
      <c r="BA33" s="10"/>
      <c r="BB33" s="9">
        <f t="shared" si="24"/>
        <v>0</v>
      </c>
      <c r="BC33" s="8">
        <f t="shared" si="25"/>
        <v>0</v>
      </c>
      <c r="BD33" s="7"/>
      <c r="BE33" s="10"/>
      <c r="BF33" s="9">
        <f t="shared" si="26"/>
        <v>0</v>
      </c>
      <c r="BG33" s="8">
        <f t="shared" si="27"/>
        <v>0</v>
      </c>
      <c r="BH33" s="7"/>
      <c r="BI33" s="10"/>
      <c r="BJ33" s="9">
        <f t="shared" si="28"/>
        <v>0</v>
      </c>
      <c r="BK33" s="8">
        <f t="shared" si="29"/>
        <v>0</v>
      </c>
      <c r="BL33" s="7"/>
      <c r="BM33" s="10"/>
      <c r="BN33" s="9">
        <f t="shared" si="30"/>
        <v>0</v>
      </c>
      <c r="BO33" s="8">
        <f t="shared" si="31"/>
        <v>0</v>
      </c>
      <c r="BP33" s="7"/>
      <c r="BQ33" s="10"/>
      <c r="BR33" s="9">
        <f t="shared" si="32"/>
        <v>0</v>
      </c>
      <c r="BS33" s="8">
        <f t="shared" si="33"/>
        <v>0</v>
      </c>
      <c r="BT33" s="7"/>
      <c r="BU33" s="10"/>
      <c r="BV33" s="9">
        <f t="shared" si="34"/>
        <v>0</v>
      </c>
      <c r="BW33" s="8">
        <f t="shared" si="35"/>
        <v>0</v>
      </c>
      <c r="BX33" s="7"/>
      <c r="BY33" s="10"/>
      <c r="BZ33" s="9">
        <f t="shared" si="36"/>
        <v>0</v>
      </c>
      <c r="CA33" s="8">
        <f t="shared" si="37"/>
        <v>0</v>
      </c>
      <c r="CB33" s="7"/>
      <c r="CC33" s="10"/>
      <c r="CD33" s="9">
        <f t="shared" si="38"/>
        <v>0</v>
      </c>
      <c r="CE33" s="8">
        <f t="shared" si="39"/>
        <v>0</v>
      </c>
      <c r="CF33" s="7"/>
      <c r="CG33" s="10"/>
      <c r="CH33" s="9">
        <f t="shared" si="40"/>
        <v>0</v>
      </c>
      <c r="CI33" s="8">
        <f t="shared" si="41"/>
        <v>0</v>
      </c>
      <c r="CJ33" s="7"/>
      <c r="CK33" s="10"/>
      <c r="CL33" s="9">
        <f t="shared" si="42"/>
        <v>0</v>
      </c>
      <c r="CM33" s="8">
        <f t="shared" si="43"/>
        <v>0</v>
      </c>
      <c r="CN33" s="7"/>
      <c r="CO33" s="10"/>
      <c r="CP33" s="9">
        <f t="shared" si="44"/>
        <v>0</v>
      </c>
      <c r="CQ33" s="8">
        <f t="shared" si="45"/>
        <v>0</v>
      </c>
      <c r="CR33" s="7"/>
      <c r="CS33" s="10"/>
      <c r="CT33" s="9">
        <f t="shared" si="46"/>
        <v>0</v>
      </c>
      <c r="CU33" s="8">
        <f t="shared" si="47"/>
        <v>0</v>
      </c>
      <c r="CV33" s="7"/>
      <c r="CW33" s="10"/>
      <c r="CX33" s="9">
        <f t="shared" si="48"/>
        <v>0</v>
      </c>
      <c r="CY33" s="8">
        <f t="shared" si="49"/>
        <v>0</v>
      </c>
      <c r="CZ33" s="7"/>
      <c r="DA33" s="10"/>
      <c r="DB33" s="9">
        <f t="shared" si="50"/>
        <v>0</v>
      </c>
      <c r="DC33" s="8">
        <f t="shared" si="51"/>
        <v>0</v>
      </c>
      <c r="DD33" s="7"/>
      <c r="DE33" s="10"/>
      <c r="DF33" s="9">
        <f t="shared" si="52"/>
        <v>0</v>
      </c>
      <c r="DG33" s="8">
        <f t="shared" si="53"/>
        <v>0</v>
      </c>
      <c r="DH33" s="7"/>
      <c r="DI33" s="10"/>
      <c r="DJ33" s="9">
        <f t="shared" si="54"/>
        <v>0</v>
      </c>
      <c r="DK33" s="8">
        <f t="shared" si="55"/>
        <v>0</v>
      </c>
    </row>
    <row r="34" spans="1:115" ht="16" customHeight="1" thickBot="1">
      <c r="A34" s="134" t="s">
        <v>77</v>
      </c>
      <c r="B34" s="133" t="s">
        <v>137</v>
      </c>
      <c r="C34" s="124" t="s">
        <v>137</v>
      </c>
      <c r="D34" s="122"/>
      <c r="E34" s="10"/>
      <c r="F34" s="9">
        <f t="shared" si="0"/>
        <v>0</v>
      </c>
      <c r="G34" s="8">
        <f t="shared" si="1"/>
        <v>0</v>
      </c>
      <c r="H34" s="7"/>
      <c r="I34" s="10"/>
      <c r="J34" s="9">
        <f t="shared" si="2"/>
        <v>0</v>
      </c>
      <c r="K34" s="8">
        <f t="shared" si="3"/>
        <v>0</v>
      </c>
      <c r="L34" s="10"/>
      <c r="M34" s="10"/>
      <c r="N34" s="9">
        <f t="shared" si="4"/>
        <v>0</v>
      </c>
      <c r="O34" s="8">
        <f t="shared" si="5"/>
        <v>0</v>
      </c>
      <c r="P34" s="7"/>
      <c r="Q34" s="10"/>
      <c r="R34" s="9">
        <f t="shared" si="6"/>
        <v>0</v>
      </c>
      <c r="S34" s="8">
        <f t="shared" si="7"/>
        <v>0</v>
      </c>
      <c r="T34" s="7"/>
      <c r="U34" s="10"/>
      <c r="V34" s="9">
        <f t="shared" si="8"/>
        <v>0</v>
      </c>
      <c r="W34" s="8">
        <f t="shared" si="9"/>
        <v>0</v>
      </c>
      <c r="X34" s="7"/>
      <c r="Y34" s="10"/>
      <c r="Z34" s="9">
        <f t="shared" si="10"/>
        <v>0</v>
      </c>
      <c r="AA34" s="8">
        <f t="shared" si="11"/>
        <v>0</v>
      </c>
      <c r="AB34" s="7"/>
      <c r="AC34" s="10"/>
      <c r="AD34" s="9">
        <f t="shared" si="12"/>
        <v>0</v>
      </c>
      <c r="AE34" s="8">
        <f t="shared" si="13"/>
        <v>0</v>
      </c>
      <c r="AF34" s="7"/>
      <c r="AG34" s="10"/>
      <c r="AH34" s="9">
        <f t="shared" si="14"/>
        <v>0</v>
      </c>
      <c r="AI34" s="8">
        <f t="shared" si="15"/>
        <v>0</v>
      </c>
      <c r="AJ34" s="7"/>
      <c r="AK34" s="10"/>
      <c r="AL34" s="9">
        <f t="shared" si="16"/>
        <v>0</v>
      </c>
      <c r="AM34" s="8">
        <f t="shared" si="17"/>
        <v>0</v>
      </c>
      <c r="AN34" s="7"/>
      <c r="AO34" s="10"/>
      <c r="AP34" s="9">
        <f t="shared" si="18"/>
        <v>0</v>
      </c>
      <c r="AQ34" s="8">
        <f t="shared" si="19"/>
        <v>0</v>
      </c>
      <c r="AR34" s="7"/>
      <c r="AS34" s="10"/>
      <c r="AT34" s="9">
        <f t="shared" si="20"/>
        <v>0</v>
      </c>
      <c r="AU34" s="8">
        <f t="shared" si="21"/>
        <v>0</v>
      </c>
      <c r="AV34" s="7"/>
      <c r="AW34" s="10"/>
      <c r="AX34" s="9">
        <f t="shared" si="22"/>
        <v>0</v>
      </c>
      <c r="AY34" s="8">
        <f t="shared" si="23"/>
        <v>0</v>
      </c>
      <c r="AZ34" s="7"/>
      <c r="BA34" s="10"/>
      <c r="BB34" s="9">
        <f t="shared" si="24"/>
        <v>0</v>
      </c>
      <c r="BC34" s="8">
        <f t="shared" si="25"/>
        <v>0</v>
      </c>
      <c r="BD34" s="7"/>
      <c r="BE34" s="10"/>
      <c r="BF34" s="9">
        <f t="shared" si="26"/>
        <v>0</v>
      </c>
      <c r="BG34" s="8">
        <f t="shared" si="27"/>
        <v>0</v>
      </c>
      <c r="BH34" s="7"/>
      <c r="BI34" s="10"/>
      <c r="BJ34" s="9">
        <f t="shared" si="28"/>
        <v>0</v>
      </c>
      <c r="BK34" s="8">
        <f t="shared" si="29"/>
        <v>0</v>
      </c>
      <c r="BL34" s="7"/>
      <c r="BM34" s="10"/>
      <c r="BN34" s="9">
        <f t="shared" si="30"/>
        <v>0</v>
      </c>
      <c r="BO34" s="8">
        <f t="shared" si="31"/>
        <v>0</v>
      </c>
      <c r="BP34" s="7"/>
      <c r="BQ34" s="10"/>
      <c r="BR34" s="9">
        <f t="shared" si="32"/>
        <v>0</v>
      </c>
      <c r="BS34" s="8">
        <f t="shared" si="33"/>
        <v>0</v>
      </c>
      <c r="BT34" s="7"/>
      <c r="BU34" s="10"/>
      <c r="BV34" s="9">
        <f t="shared" si="34"/>
        <v>0</v>
      </c>
      <c r="BW34" s="8">
        <f t="shared" si="35"/>
        <v>0</v>
      </c>
      <c r="BX34" s="7"/>
      <c r="BY34" s="10"/>
      <c r="BZ34" s="9">
        <f t="shared" si="36"/>
        <v>0</v>
      </c>
      <c r="CA34" s="8">
        <f t="shared" si="37"/>
        <v>0</v>
      </c>
      <c r="CB34" s="7"/>
      <c r="CC34" s="10"/>
      <c r="CD34" s="9">
        <f t="shared" si="38"/>
        <v>0</v>
      </c>
      <c r="CE34" s="8">
        <f t="shared" si="39"/>
        <v>0</v>
      </c>
      <c r="CF34" s="7"/>
      <c r="CG34" s="10"/>
      <c r="CH34" s="9">
        <f t="shared" si="40"/>
        <v>0</v>
      </c>
      <c r="CI34" s="8">
        <f t="shared" si="41"/>
        <v>0</v>
      </c>
      <c r="CJ34" s="7"/>
      <c r="CK34" s="10"/>
      <c r="CL34" s="9">
        <f t="shared" si="42"/>
        <v>0</v>
      </c>
      <c r="CM34" s="8">
        <f t="shared" si="43"/>
        <v>0</v>
      </c>
      <c r="CN34" s="7"/>
      <c r="CO34" s="10"/>
      <c r="CP34" s="9">
        <f t="shared" si="44"/>
        <v>0</v>
      </c>
      <c r="CQ34" s="8">
        <f t="shared" si="45"/>
        <v>0</v>
      </c>
      <c r="CR34" s="7"/>
      <c r="CS34" s="10"/>
      <c r="CT34" s="9">
        <f t="shared" si="46"/>
        <v>0</v>
      </c>
      <c r="CU34" s="8">
        <f t="shared" si="47"/>
        <v>0</v>
      </c>
      <c r="CV34" s="7"/>
      <c r="CW34" s="10"/>
      <c r="CX34" s="9">
        <f t="shared" si="48"/>
        <v>0</v>
      </c>
      <c r="CY34" s="8">
        <f t="shared" si="49"/>
        <v>0</v>
      </c>
      <c r="CZ34" s="7"/>
      <c r="DA34" s="10"/>
      <c r="DB34" s="9">
        <f t="shared" si="50"/>
        <v>0</v>
      </c>
      <c r="DC34" s="8">
        <f t="shared" si="51"/>
        <v>0</v>
      </c>
      <c r="DD34" s="7"/>
      <c r="DE34" s="10"/>
      <c r="DF34" s="9">
        <f t="shared" si="52"/>
        <v>0</v>
      </c>
      <c r="DG34" s="8">
        <f t="shared" si="53"/>
        <v>0</v>
      </c>
      <c r="DH34" s="7"/>
      <c r="DI34" s="10"/>
      <c r="DJ34" s="9">
        <f t="shared" si="54"/>
        <v>0</v>
      </c>
      <c r="DK34" s="8">
        <f t="shared" si="55"/>
        <v>0</v>
      </c>
    </row>
    <row r="35" spans="1:115" ht="16" customHeight="1" thickBot="1">
      <c r="A35" s="134" t="s">
        <v>78</v>
      </c>
      <c r="B35" s="133" t="s">
        <v>137</v>
      </c>
      <c r="C35" s="124" t="s">
        <v>137</v>
      </c>
      <c r="D35" s="122"/>
      <c r="E35" s="10"/>
      <c r="F35" s="9">
        <f t="shared" si="0"/>
        <v>0</v>
      </c>
      <c r="G35" s="8">
        <f t="shared" si="1"/>
        <v>0</v>
      </c>
      <c r="H35" s="7"/>
      <c r="I35" s="10"/>
      <c r="J35" s="9">
        <f t="shared" si="2"/>
        <v>0</v>
      </c>
      <c r="K35" s="8">
        <f t="shared" si="3"/>
        <v>0</v>
      </c>
      <c r="L35" s="10"/>
      <c r="M35" s="10"/>
      <c r="N35" s="9">
        <f t="shared" si="4"/>
        <v>0</v>
      </c>
      <c r="O35" s="8">
        <f t="shared" si="5"/>
        <v>0</v>
      </c>
      <c r="P35" s="7"/>
      <c r="Q35" s="10"/>
      <c r="R35" s="9">
        <f t="shared" si="6"/>
        <v>0</v>
      </c>
      <c r="S35" s="8">
        <f t="shared" si="7"/>
        <v>0</v>
      </c>
      <c r="T35" s="7"/>
      <c r="U35" s="10"/>
      <c r="V35" s="9">
        <f t="shared" si="8"/>
        <v>0</v>
      </c>
      <c r="W35" s="8">
        <f t="shared" si="9"/>
        <v>0</v>
      </c>
      <c r="X35" s="7"/>
      <c r="Y35" s="10"/>
      <c r="Z35" s="9">
        <f t="shared" si="10"/>
        <v>0</v>
      </c>
      <c r="AA35" s="8">
        <f t="shared" si="11"/>
        <v>0</v>
      </c>
      <c r="AB35" s="7"/>
      <c r="AC35" s="10"/>
      <c r="AD35" s="9">
        <f t="shared" si="12"/>
        <v>0</v>
      </c>
      <c r="AE35" s="8">
        <f t="shared" si="13"/>
        <v>0</v>
      </c>
      <c r="AF35" s="7"/>
      <c r="AG35" s="10"/>
      <c r="AH35" s="9">
        <f t="shared" si="14"/>
        <v>0</v>
      </c>
      <c r="AI35" s="8">
        <f t="shared" si="15"/>
        <v>0</v>
      </c>
      <c r="AJ35" s="7"/>
      <c r="AK35" s="10"/>
      <c r="AL35" s="9">
        <f t="shared" si="16"/>
        <v>0</v>
      </c>
      <c r="AM35" s="8">
        <f t="shared" si="17"/>
        <v>0</v>
      </c>
      <c r="AN35" s="7"/>
      <c r="AO35" s="10"/>
      <c r="AP35" s="9">
        <f t="shared" si="18"/>
        <v>0</v>
      </c>
      <c r="AQ35" s="8">
        <f t="shared" si="19"/>
        <v>0</v>
      </c>
      <c r="AR35" s="7"/>
      <c r="AS35" s="10"/>
      <c r="AT35" s="9">
        <f t="shared" si="20"/>
        <v>0</v>
      </c>
      <c r="AU35" s="8">
        <f t="shared" si="21"/>
        <v>0</v>
      </c>
      <c r="AV35" s="7"/>
      <c r="AW35" s="10"/>
      <c r="AX35" s="9">
        <f t="shared" si="22"/>
        <v>0</v>
      </c>
      <c r="AY35" s="8">
        <f t="shared" si="23"/>
        <v>0</v>
      </c>
      <c r="AZ35" s="7"/>
      <c r="BA35" s="10"/>
      <c r="BB35" s="9">
        <f t="shared" si="24"/>
        <v>0</v>
      </c>
      <c r="BC35" s="8">
        <f t="shared" si="25"/>
        <v>0</v>
      </c>
      <c r="BD35" s="7"/>
      <c r="BE35" s="10"/>
      <c r="BF35" s="9">
        <f t="shared" si="26"/>
        <v>0</v>
      </c>
      <c r="BG35" s="8">
        <f t="shared" si="27"/>
        <v>0</v>
      </c>
      <c r="BH35" s="7"/>
      <c r="BI35" s="10"/>
      <c r="BJ35" s="9">
        <f t="shared" si="28"/>
        <v>0</v>
      </c>
      <c r="BK35" s="8">
        <f t="shared" si="29"/>
        <v>0</v>
      </c>
      <c r="BL35" s="7"/>
      <c r="BM35" s="10"/>
      <c r="BN35" s="9">
        <f t="shared" si="30"/>
        <v>0</v>
      </c>
      <c r="BO35" s="8">
        <f t="shared" si="31"/>
        <v>0</v>
      </c>
      <c r="BP35" s="7"/>
      <c r="BQ35" s="10"/>
      <c r="BR35" s="9">
        <f t="shared" si="32"/>
        <v>0</v>
      </c>
      <c r="BS35" s="8">
        <f t="shared" si="33"/>
        <v>0</v>
      </c>
      <c r="BT35" s="7"/>
      <c r="BU35" s="10"/>
      <c r="BV35" s="9">
        <f t="shared" si="34"/>
        <v>0</v>
      </c>
      <c r="BW35" s="8">
        <f t="shared" si="35"/>
        <v>0</v>
      </c>
      <c r="BX35" s="7"/>
      <c r="BY35" s="10"/>
      <c r="BZ35" s="9">
        <f t="shared" si="36"/>
        <v>0</v>
      </c>
      <c r="CA35" s="8">
        <f t="shared" si="37"/>
        <v>0</v>
      </c>
      <c r="CB35" s="7"/>
      <c r="CC35" s="10"/>
      <c r="CD35" s="9">
        <f t="shared" si="38"/>
        <v>0</v>
      </c>
      <c r="CE35" s="8">
        <f t="shared" si="39"/>
        <v>0</v>
      </c>
      <c r="CF35" s="7"/>
      <c r="CG35" s="10"/>
      <c r="CH35" s="9">
        <f t="shared" si="40"/>
        <v>0</v>
      </c>
      <c r="CI35" s="8">
        <f t="shared" si="41"/>
        <v>0</v>
      </c>
      <c r="CJ35" s="7"/>
      <c r="CK35" s="10"/>
      <c r="CL35" s="9">
        <f t="shared" si="42"/>
        <v>0</v>
      </c>
      <c r="CM35" s="8">
        <f t="shared" si="43"/>
        <v>0</v>
      </c>
      <c r="CN35" s="7"/>
      <c r="CO35" s="10"/>
      <c r="CP35" s="9">
        <f t="shared" si="44"/>
        <v>0</v>
      </c>
      <c r="CQ35" s="8">
        <f t="shared" si="45"/>
        <v>0</v>
      </c>
      <c r="CR35" s="7"/>
      <c r="CS35" s="10"/>
      <c r="CT35" s="9">
        <f t="shared" si="46"/>
        <v>0</v>
      </c>
      <c r="CU35" s="8">
        <f t="shared" si="47"/>
        <v>0</v>
      </c>
      <c r="CV35" s="7"/>
      <c r="CW35" s="10"/>
      <c r="CX35" s="9">
        <f t="shared" si="48"/>
        <v>0</v>
      </c>
      <c r="CY35" s="8">
        <f t="shared" si="49"/>
        <v>0</v>
      </c>
      <c r="CZ35" s="7"/>
      <c r="DA35" s="10"/>
      <c r="DB35" s="9">
        <f t="shared" si="50"/>
        <v>0</v>
      </c>
      <c r="DC35" s="8">
        <f t="shared" si="51"/>
        <v>0</v>
      </c>
      <c r="DD35" s="7"/>
      <c r="DE35" s="10"/>
      <c r="DF35" s="9">
        <f t="shared" si="52"/>
        <v>0</v>
      </c>
      <c r="DG35" s="8">
        <f t="shared" si="53"/>
        <v>0</v>
      </c>
      <c r="DH35" s="7"/>
      <c r="DI35" s="10"/>
      <c r="DJ35" s="9">
        <f t="shared" si="54"/>
        <v>0</v>
      </c>
      <c r="DK35" s="8">
        <f t="shared" si="55"/>
        <v>0</v>
      </c>
    </row>
    <row r="36" spans="1:115" ht="16" customHeight="1" thickBot="1">
      <c r="A36" s="134" t="s">
        <v>79</v>
      </c>
      <c r="B36" s="133" t="s">
        <v>137</v>
      </c>
      <c r="C36" s="124" t="s">
        <v>137</v>
      </c>
      <c r="D36" s="122"/>
      <c r="E36" s="10"/>
      <c r="F36" s="9">
        <f t="shared" si="0"/>
        <v>0</v>
      </c>
      <c r="G36" s="8">
        <f t="shared" si="1"/>
        <v>0</v>
      </c>
      <c r="H36" s="10"/>
      <c r="I36" s="10"/>
      <c r="J36" s="9">
        <f t="shared" si="2"/>
        <v>0</v>
      </c>
      <c r="K36" s="8">
        <f t="shared" si="3"/>
        <v>0</v>
      </c>
      <c r="L36" s="10"/>
      <c r="M36" s="10"/>
      <c r="N36" s="9">
        <f t="shared" si="4"/>
        <v>0</v>
      </c>
      <c r="O36" s="8">
        <f t="shared" si="5"/>
        <v>0</v>
      </c>
      <c r="P36" s="7"/>
      <c r="Q36" s="10" t="s">
        <v>135</v>
      </c>
      <c r="R36" s="9">
        <f t="shared" si="6"/>
        <v>0</v>
      </c>
      <c r="S36" s="8">
        <f t="shared" si="7"/>
        <v>0</v>
      </c>
      <c r="T36" s="7"/>
      <c r="U36" s="10"/>
      <c r="V36" s="9">
        <f t="shared" si="8"/>
        <v>0</v>
      </c>
      <c r="W36" s="8">
        <f t="shared" si="9"/>
        <v>0</v>
      </c>
      <c r="X36" s="7"/>
      <c r="Y36" s="10"/>
      <c r="Z36" s="9">
        <f t="shared" si="10"/>
        <v>0</v>
      </c>
      <c r="AA36" s="8">
        <f t="shared" si="11"/>
        <v>0</v>
      </c>
      <c r="AB36" s="7"/>
      <c r="AC36" s="10"/>
      <c r="AD36" s="9">
        <f t="shared" si="12"/>
        <v>0</v>
      </c>
      <c r="AE36" s="8">
        <f t="shared" si="13"/>
        <v>0</v>
      </c>
      <c r="AF36" s="7"/>
      <c r="AG36" s="10" t="s">
        <v>135</v>
      </c>
      <c r="AH36" s="9">
        <f t="shared" si="14"/>
        <v>0</v>
      </c>
      <c r="AI36" s="8">
        <f t="shared" si="15"/>
        <v>0</v>
      </c>
      <c r="AJ36" s="7"/>
      <c r="AK36" s="10"/>
      <c r="AL36" s="9">
        <f t="shared" si="16"/>
        <v>0</v>
      </c>
      <c r="AM36" s="8">
        <f t="shared" si="17"/>
        <v>0</v>
      </c>
      <c r="AN36" s="7"/>
      <c r="AO36" s="10"/>
      <c r="AP36" s="9">
        <f t="shared" si="18"/>
        <v>0</v>
      </c>
      <c r="AQ36" s="8">
        <f t="shared" si="19"/>
        <v>0</v>
      </c>
      <c r="AR36" s="7"/>
      <c r="AS36" s="10"/>
      <c r="AT36" s="9">
        <f t="shared" si="20"/>
        <v>0</v>
      </c>
      <c r="AU36" s="8">
        <f t="shared" si="21"/>
        <v>0</v>
      </c>
      <c r="AV36" s="7"/>
      <c r="AW36" s="10" t="s">
        <v>135</v>
      </c>
      <c r="AX36" s="9">
        <f t="shared" si="22"/>
        <v>0</v>
      </c>
      <c r="AY36" s="8">
        <f t="shared" si="23"/>
        <v>0</v>
      </c>
      <c r="AZ36" s="7"/>
      <c r="BA36" s="10"/>
      <c r="BB36" s="9">
        <f t="shared" si="24"/>
        <v>0</v>
      </c>
      <c r="BC36" s="8">
        <f t="shared" si="25"/>
        <v>0</v>
      </c>
      <c r="BD36" s="7"/>
      <c r="BE36" s="10"/>
      <c r="BF36" s="9">
        <f t="shared" si="26"/>
        <v>0</v>
      </c>
      <c r="BG36" s="8">
        <f t="shared" si="27"/>
        <v>0</v>
      </c>
      <c r="BH36" s="7"/>
      <c r="BI36" s="10" t="s">
        <v>135</v>
      </c>
      <c r="BJ36" s="9">
        <f t="shared" si="28"/>
        <v>0</v>
      </c>
      <c r="BK36" s="8">
        <f t="shared" si="29"/>
        <v>0</v>
      </c>
      <c r="BL36" s="7"/>
      <c r="BM36" s="10"/>
      <c r="BN36" s="9">
        <f t="shared" si="30"/>
        <v>0</v>
      </c>
      <c r="BO36" s="8">
        <f t="shared" si="31"/>
        <v>0</v>
      </c>
      <c r="BP36" s="7"/>
      <c r="BQ36" s="10" t="s">
        <v>135</v>
      </c>
      <c r="BR36" s="9">
        <f t="shared" si="32"/>
        <v>0</v>
      </c>
      <c r="BS36" s="8">
        <f t="shared" si="33"/>
        <v>0</v>
      </c>
      <c r="BT36" s="7"/>
      <c r="BU36" s="10"/>
      <c r="BV36" s="9">
        <f t="shared" si="34"/>
        <v>0</v>
      </c>
      <c r="BW36" s="8">
        <f t="shared" si="35"/>
        <v>0</v>
      </c>
      <c r="BX36" s="7"/>
      <c r="BY36" s="10" t="s">
        <v>135</v>
      </c>
      <c r="BZ36" s="9">
        <f t="shared" si="36"/>
        <v>0</v>
      </c>
      <c r="CA36" s="8">
        <f t="shared" si="37"/>
        <v>0</v>
      </c>
      <c r="CB36" s="7"/>
      <c r="CC36" s="10" t="s">
        <v>135</v>
      </c>
      <c r="CD36" s="9">
        <f t="shared" si="38"/>
        <v>0</v>
      </c>
      <c r="CE36" s="8">
        <f t="shared" si="39"/>
        <v>0</v>
      </c>
      <c r="CF36" s="7"/>
      <c r="CG36" s="10"/>
      <c r="CH36" s="9">
        <f t="shared" si="40"/>
        <v>0</v>
      </c>
      <c r="CI36" s="8">
        <f t="shared" si="41"/>
        <v>0</v>
      </c>
      <c r="CJ36" s="7"/>
      <c r="CK36" s="10" t="s">
        <v>135</v>
      </c>
      <c r="CL36" s="9">
        <f t="shared" si="42"/>
        <v>0</v>
      </c>
      <c r="CM36" s="8">
        <f t="shared" si="43"/>
        <v>0</v>
      </c>
      <c r="CN36" s="7"/>
      <c r="CO36" s="10"/>
      <c r="CP36" s="9">
        <f t="shared" si="44"/>
        <v>0</v>
      </c>
      <c r="CQ36" s="8">
        <f t="shared" si="45"/>
        <v>0</v>
      </c>
      <c r="CR36" s="7"/>
      <c r="CS36" s="10" t="s">
        <v>135</v>
      </c>
      <c r="CT36" s="9">
        <f t="shared" si="46"/>
        <v>0</v>
      </c>
      <c r="CU36" s="8">
        <f t="shared" si="47"/>
        <v>0</v>
      </c>
      <c r="CV36" s="7"/>
      <c r="CW36" s="10"/>
      <c r="CX36" s="9">
        <f t="shared" si="48"/>
        <v>0</v>
      </c>
      <c r="CY36" s="8">
        <f t="shared" si="49"/>
        <v>0</v>
      </c>
      <c r="CZ36" s="7"/>
      <c r="DA36" s="10"/>
      <c r="DB36" s="9">
        <f t="shared" si="50"/>
        <v>0</v>
      </c>
      <c r="DC36" s="8">
        <f t="shared" si="51"/>
        <v>0</v>
      </c>
      <c r="DD36" s="7"/>
      <c r="DE36" s="10"/>
      <c r="DF36" s="9">
        <f t="shared" si="52"/>
        <v>0</v>
      </c>
      <c r="DG36" s="8">
        <f t="shared" si="53"/>
        <v>0</v>
      </c>
      <c r="DH36" s="7"/>
      <c r="DI36" s="10"/>
      <c r="DJ36" s="9">
        <f t="shared" si="54"/>
        <v>0</v>
      </c>
      <c r="DK36" s="8">
        <f t="shared" si="55"/>
        <v>0</v>
      </c>
    </row>
    <row r="37" spans="1:115" ht="16" customHeight="1" thickBot="1">
      <c r="A37" s="134" t="s">
        <v>80</v>
      </c>
      <c r="B37" s="133" t="s">
        <v>137</v>
      </c>
      <c r="C37" s="124" t="s">
        <v>137</v>
      </c>
      <c r="D37" s="122"/>
      <c r="E37" s="10"/>
      <c r="F37" s="9">
        <f t="shared" si="0"/>
        <v>0</v>
      </c>
      <c r="G37" s="8">
        <f t="shared" si="1"/>
        <v>0</v>
      </c>
      <c r="H37" s="7"/>
      <c r="I37" s="10"/>
      <c r="J37" s="9">
        <f t="shared" si="2"/>
        <v>0</v>
      </c>
      <c r="K37" s="8">
        <f t="shared" si="3"/>
        <v>0</v>
      </c>
      <c r="L37" s="7"/>
      <c r="M37" s="10"/>
      <c r="N37" s="9">
        <f t="shared" si="4"/>
        <v>0</v>
      </c>
      <c r="O37" s="8">
        <f t="shared" si="5"/>
        <v>0</v>
      </c>
      <c r="P37" s="7"/>
      <c r="Q37" s="10"/>
      <c r="R37" s="9">
        <f t="shared" si="6"/>
        <v>0</v>
      </c>
      <c r="S37" s="8">
        <f t="shared" si="7"/>
        <v>0</v>
      </c>
      <c r="T37" s="7"/>
      <c r="U37" s="10"/>
      <c r="V37" s="9">
        <f t="shared" si="8"/>
        <v>0</v>
      </c>
      <c r="W37" s="8">
        <f t="shared" si="9"/>
        <v>0</v>
      </c>
      <c r="X37" s="7"/>
      <c r="Y37" s="10"/>
      <c r="Z37" s="9">
        <f t="shared" si="10"/>
        <v>0</v>
      </c>
      <c r="AA37" s="8">
        <f t="shared" si="11"/>
        <v>0</v>
      </c>
      <c r="AB37" s="7"/>
      <c r="AC37" s="10"/>
      <c r="AD37" s="9">
        <f t="shared" si="12"/>
        <v>0</v>
      </c>
      <c r="AE37" s="8">
        <f t="shared" si="13"/>
        <v>0</v>
      </c>
      <c r="AF37" s="7"/>
      <c r="AG37" s="10"/>
      <c r="AH37" s="9">
        <f t="shared" si="14"/>
        <v>0</v>
      </c>
      <c r="AI37" s="8">
        <f t="shared" si="15"/>
        <v>0</v>
      </c>
      <c r="AJ37" s="7"/>
      <c r="AK37" s="10"/>
      <c r="AL37" s="9">
        <f t="shared" si="16"/>
        <v>0</v>
      </c>
      <c r="AM37" s="8">
        <f t="shared" si="17"/>
        <v>0</v>
      </c>
      <c r="AN37" s="7"/>
      <c r="AO37" s="10"/>
      <c r="AP37" s="9">
        <f t="shared" si="18"/>
        <v>0</v>
      </c>
      <c r="AQ37" s="8">
        <f t="shared" si="19"/>
        <v>0</v>
      </c>
      <c r="AR37" s="7"/>
      <c r="AS37" s="10"/>
      <c r="AT37" s="9">
        <f t="shared" si="20"/>
        <v>0</v>
      </c>
      <c r="AU37" s="8">
        <f t="shared" si="21"/>
        <v>0</v>
      </c>
      <c r="AV37" s="7"/>
      <c r="AW37" s="10"/>
      <c r="AX37" s="9">
        <f t="shared" si="22"/>
        <v>0</v>
      </c>
      <c r="AY37" s="8">
        <f t="shared" si="23"/>
        <v>0</v>
      </c>
      <c r="AZ37" s="7"/>
      <c r="BA37" s="10"/>
      <c r="BB37" s="9">
        <f t="shared" si="24"/>
        <v>0</v>
      </c>
      <c r="BC37" s="8">
        <f t="shared" si="25"/>
        <v>0</v>
      </c>
      <c r="BD37" s="7"/>
      <c r="BE37" s="10"/>
      <c r="BF37" s="9">
        <f t="shared" si="26"/>
        <v>0</v>
      </c>
      <c r="BG37" s="8">
        <f t="shared" si="27"/>
        <v>0</v>
      </c>
      <c r="BH37" s="7"/>
      <c r="BI37" s="10"/>
      <c r="BJ37" s="9">
        <f t="shared" si="28"/>
        <v>0</v>
      </c>
      <c r="BK37" s="8">
        <f t="shared" si="29"/>
        <v>0</v>
      </c>
      <c r="BL37" s="7"/>
      <c r="BM37" s="10"/>
      <c r="BN37" s="9">
        <f t="shared" si="30"/>
        <v>0</v>
      </c>
      <c r="BO37" s="8">
        <f t="shared" si="31"/>
        <v>0</v>
      </c>
      <c r="BP37" s="7"/>
      <c r="BQ37" s="10"/>
      <c r="BR37" s="9">
        <f t="shared" si="32"/>
        <v>0</v>
      </c>
      <c r="BS37" s="8">
        <f t="shared" si="33"/>
        <v>0</v>
      </c>
      <c r="BT37" s="7"/>
      <c r="BU37" s="10"/>
      <c r="BV37" s="9">
        <f t="shared" si="34"/>
        <v>0</v>
      </c>
      <c r="BW37" s="8">
        <f t="shared" si="35"/>
        <v>0</v>
      </c>
      <c r="BX37" s="7"/>
      <c r="BY37" s="10"/>
      <c r="BZ37" s="9">
        <f t="shared" si="36"/>
        <v>0</v>
      </c>
      <c r="CA37" s="8">
        <f t="shared" si="37"/>
        <v>0</v>
      </c>
      <c r="CB37" s="114"/>
      <c r="CC37" s="10"/>
      <c r="CD37" s="9">
        <f t="shared" si="38"/>
        <v>0</v>
      </c>
      <c r="CE37" s="8">
        <f t="shared" si="39"/>
        <v>0</v>
      </c>
      <c r="CF37" s="7"/>
      <c r="CG37" s="10"/>
      <c r="CH37" s="9">
        <f t="shared" si="40"/>
        <v>0</v>
      </c>
      <c r="CI37" s="8">
        <f t="shared" si="41"/>
        <v>0</v>
      </c>
      <c r="CJ37" s="7"/>
      <c r="CK37" s="10"/>
      <c r="CL37" s="9">
        <f t="shared" si="42"/>
        <v>0</v>
      </c>
      <c r="CM37" s="8">
        <f t="shared" si="43"/>
        <v>0</v>
      </c>
      <c r="CN37" s="7"/>
      <c r="CO37" s="10"/>
      <c r="CP37" s="9">
        <f t="shared" si="44"/>
        <v>0</v>
      </c>
      <c r="CQ37" s="8">
        <f t="shared" si="45"/>
        <v>0</v>
      </c>
      <c r="CR37" s="7"/>
      <c r="CS37" s="10"/>
      <c r="CT37" s="9">
        <f t="shared" si="46"/>
        <v>0</v>
      </c>
      <c r="CU37" s="8">
        <f t="shared" si="47"/>
        <v>0</v>
      </c>
      <c r="CV37" s="7"/>
      <c r="CW37" s="10"/>
      <c r="CX37" s="9">
        <f t="shared" si="48"/>
        <v>0</v>
      </c>
      <c r="CY37" s="8">
        <f t="shared" si="49"/>
        <v>0</v>
      </c>
      <c r="CZ37" s="7"/>
      <c r="DA37" s="10"/>
      <c r="DB37" s="9">
        <f t="shared" si="50"/>
        <v>0</v>
      </c>
      <c r="DC37" s="8">
        <f t="shared" si="51"/>
        <v>0</v>
      </c>
      <c r="DD37" s="7"/>
      <c r="DE37" s="10"/>
      <c r="DF37" s="9">
        <f t="shared" si="52"/>
        <v>0</v>
      </c>
      <c r="DG37" s="8">
        <f t="shared" si="53"/>
        <v>0</v>
      </c>
      <c r="DH37" s="7"/>
      <c r="DI37" s="10"/>
      <c r="DJ37" s="9">
        <f t="shared" si="54"/>
        <v>0</v>
      </c>
      <c r="DK37" s="8">
        <f t="shared" si="55"/>
        <v>0</v>
      </c>
    </row>
    <row r="38" spans="1:115" ht="16" customHeight="1" thickBot="1">
      <c r="A38" s="134" t="s">
        <v>81</v>
      </c>
      <c r="B38" s="133" t="s">
        <v>137</v>
      </c>
      <c r="C38" s="124" t="s">
        <v>137</v>
      </c>
      <c r="D38" s="122"/>
      <c r="E38" s="10"/>
      <c r="F38" s="9">
        <f t="shared" si="0"/>
        <v>0</v>
      </c>
      <c r="G38" s="8">
        <f t="shared" si="1"/>
        <v>0</v>
      </c>
      <c r="H38" s="7"/>
      <c r="I38" s="10"/>
      <c r="J38" s="9">
        <f t="shared" si="2"/>
        <v>0</v>
      </c>
      <c r="K38" s="8">
        <f t="shared" si="3"/>
        <v>0</v>
      </c>
      <c r="L38" s="7"/>
      <c r="M38" s="10"/>
      <c r="N38" s="9">
        <f t="shared" si="4"/>
        <v>0</v>
      </c>
      <c r="O38" s="8">
        <f t="shared" si="5"/>
        <v>0</v>
      </c>
      <c r="P38" s="7"/>
      <c r="Q38" s="10"/>
      <c r="R38" s="9">
        <f t="shared" si="6"/>
        <v>0</v>
      </c>
      <c r="S38" s="8">
        <f t="shared" si="7"/>
        <v>0</v>
      </c>
      <c r="T38" s="7"/>
      <c r="U38" s="10"/>
      <c r="V38" s="9">
        <f t="shared" si="8"/>
        <v>0</v>
      </c>
      <c r="W38" s="8">
        <f t="shared" si="9"/>
        <v>0</v>
      </c>
      <c r="X38" s="7"/>
      <c r="Y38" s="10"/>
      <c r="Z38" s="9">
        <f t="shared" si="10"/>
        <v>0</v>
      </c>
      <c r="AA38" s="8">
        <f t="shared" si="11"/>
        <v>0</v>
      </c>
      <c r="AB38" s="7"/>
      <c r="AC38" s="10"/>
      <c r="AD38" s="9">
        <f t="shared" si="12"/>
        <v>0</v>
      </c>
      <c r="AE38" s="8">
        <f t="shared" si="13"/>
        <v>0</v>
      </c>
      <c r="AF38" s="7"/>
      <c r="AG38" s="10"/>
      <c r="AH38" s="9">
        <f t="shared" si="14"/>
        <v>0</v>
      </c>
      <c r="AI38" s="8">
        <f t="shared" si="15"/>
        <v>0</v>
      </c>
      <c r="AJ38" s="7"/>
      <c r="AK38" s="10"/>
      <c r="AL38" s="9">
        <f t="shared" si="16"/>
        <v>0</v>
      </c>
      <c r="AM38" s="8">
        <f t="shared" si="17"/>
        <v>0</v>
      </c>
      <c r="AN38" s="7"/>
      <c r="AO38" s="10"/>
      <c r="AP38" s="9">
        <f t="shared" si="18"/>
        <v>0</v>
      </c>
      <c r="AQ38" s="8">
        <f t="shared" si="19"/>
        <v>0</v>
      </c>
      <c r="AR38" s="7"/>
      <c r="AS38" s="10"/>
      <c r="AT38" s="9">
        <f t="shared" si="20"/>
        <v>0</v>
      </c>
      <c r="AU38" s="8">
        <f t="shared" si="21"/>
        <v>0</v>
      </c>
      <c r="AV38" s="7"/>
      <c r="AW38" s="10"/>
      <c r="AX38" s="9">
        <f t="shared" si="22"/>
        <v>0</v>
      </c>
      <c r="AY38" s="8">
        <f t="shared" si="23"/>
        <v>0</v>
      </c>
      <c r="AZ38" s="7"/>
      <c r="BA38" s="10"/>
      <c r="BB38" s="9">
        <f t="shared" si="24"/>
        <v>0</v>
      </c>
      <c r="BC38" s="8">
        <f t="shared" si="25"/>
        <v>0</v>
      </c>
      <c r="BD38" s="7"/>
      <c r="BE38" s="10"/>
      <c r="BF38" s="9">
        <f t="shared" si="26"/>
        <v>0</v>
      </c>
      <c r="BG38" s="8">
        <f t="shared" si="27"/>
        <v>0</v>
      </c>
      <c r="BH38" s="7"/>
      <c r="BI38" s="10"/>
      <c r="BJ38" s="9">
        <f t="shared" si="28"/>
        <v>0</v>
      </c>
      <c r="BK38" s="8">
        <f t="shared" si="29"/>
        <v>0</v>
      </c>
      <c r="BL38" s="7"/>
      <c r="BM38" s="10"/>
      <c r="BN38" s="9">
        <f t="shared" si="30"/>
        <v>0</v>
      </c>
      <c r="BO38" s="8">
        <f t="shared" si="31"/>
        <v>0</v>
      </c>
      <c r="BP38" s="7"/>
      <c r="BQ38" s="10"/>
      <c r="BR38" s="9">
        <f t="shared" si="32"/>
        <v>0</v>
      </c>
      <c r="BS38" s="8">
        <f t="shared" si="33"/>
        <v>0</v>
      </c>
      <c r="BT38" s="7"/>
      <c r="BU38" s="10"/>
      <c r="BV38" s="9">
        <f t="shared" si="34"/>
        <v>0</v>
      </c>
      <c r="BW38" s="8">
        <f t="shared" si="35"/>
        <v>0</v>
      </c>
      <c r="BX38" s="7"/>
      <c r="BY38" s="10"/>
      <c r="BZ38" s="9">
        <f t="shared" si="36"/>
        <v>0</v>
      </c>
      <c r="CA38" s="8">
        <f t="shared" si="37"/>
        <v>0</v>
      </c>
      <c r="CB38" s="114"/>
      <c r="CC38" s="10"/>
      <c r="CD38" s="9">
        <f t="shared" si="38"/>
        <v>0</v>
      </c>
      <c r="CE38" s="8">
        <f t="shared" si="39"/>
        <v>0</v>
      </c>
      <c r="CF38" s="7"/>
      <c r="CG38" s="10"/>
      <c r="CH38" s="9">
        <f t="shared" si="40"/>
        <v>0</v>
      </c>
      <c r="CI38" s="8">
        <f t="shared" si="41"/>
        <v>0</v>
      </c>
      <c r="CJ38" s="7"/>
      <c r="CK38" s="10"/>
      <c r="CL38" s="9">
        <f t="shared" si="42"/>
        <v>0</v>
      </c>
      <c r="CM38" s="8">
        <f t="shared" si="43"/>
        <v>0</v>
      </c>
      <c r="CN38" s="7"/>
      <c r="CO38" s="10"/>
      <c r="CP38" s="9">
        <f t="shared" si="44"/>
        <v>0</v>
      </c>
      <c r="CQ38" s="8">
        <f t="shared" si="45"/>
        <v>0</v>
      </c>
      <c r="CR38" s="7"/>
      <c r="CS38" s="10"/>
      <c r="CT38" s="9">
        <f t="shared" si="46"/>
        <v>0</v>
      </c>
      <c r="CU38" s="8">
        <f t="shared" si="47"/>
        <v>0</v>
      </c>
      <c r="CV38" s="7"/>
      <c r="CW38" s="10"/>
      <c r="CX38" s="9">
        <f t="shared" si="48"/>
        <v>0</v>
      </c>
      <c r="CY38" s="8">
        <f t="shared" si="49"/>
        <v>0</v>
      </c>
      <c r="CZ38" s="7"/>
      <c r="DA38" s="10"/>
      <c r="DB38" s="9">
        <f t="shared" si="50"/>
        <v>0</v>
      </c>
      <c r="DC38" s="8">
        <f t="shared" si="51"/>
        <v>0</v>
      </c>
      <c r="DD38" s="7"/>
      <c r="DE38" s="10"/>
      <c r="DF38" s="9">
        <f t="shared" si="52"/>
        <v>0</v>
      </c>
      <c r="DG38" s="8">
        <f t="shared" si="53"/>
        <v>0</v>
      </c>
      <c r="DH38" s="7"/>
      <c r="DI38" s="10"/>
      <c r="DJ38" s="9">
        <f t="shared" si="54"/>
        <v>0</v>
      </c>
      <c r="DK38" s="8">
        <f t="shared" si="55"/>
        <v>0</v>
      </c>
    </row>
    <row r="39" spans="1:115" ht="16" customHeight="1" thickBot="1">
      <c r="A39" s="134" t="s">
        <v>82</v>
      </c>
      <c r="B39" s="133" t="s">
        <v>137</v>
      </c>
      <c r="C39" s="124" t="s">
        <v>137</v>
      </c>
      <c r="D39" s="122"/>
      <c r="E39" s="10"/>
      <c r="F39" s="9">
        <f t="shared" si="0"/>
        <v>0</v>
      </c>
      <c r="G39" s="8">
        <f t="shared" si="1"/>
        <v>0</v>
      </c>
      <c r="H39" s="7"/>
      <c r="I39" s="10"/>
      <c r="J39" s="9">
        <f t="shared" si="2"/>
        <v>0</v>
      </c>
      <c r="K39" s="8">
        <f t="shared" si="3"/>
        <v>0</v>
      </c>
      <c r="L39" s="10"/>
      <c r="M39" s="10"/>
      <c r="N39" s="9">
        <f t="shared" si="4"/>
        <v>0</v>
      </c>
      <c r="O39" s="8">
        <f t="shared" si="5"/>
        <v>0</v>
      </c>
      <c r="P39" s="7"/>
      <c r="Q39" s="10"/>
      <c r="R39" s="9">
        <f t="shared" si="6"/>
        <v>0</v>
      </c>
      <c r="S39" s="8">
        <f t="shared" si="7"/>
        <v>0</v>
      </c>
      <c r="T39" s="7"/>
      <c r="U39" s="10" t="s">
        <v>135</v>
      </c>
      <c r="V39" s="9">
        <f t="shared" si="8"/>
        <v>0</v>
      </c>
      <c r="W39" s="8">
        <f t="shared" si="9"/>
        <v>0</v>
      </c>
      <c r="X39" s="7"/>
      <c r="Y39" s="10"/>
      <c r="Z39" s="9">
        <f t="shared" si="10"/>
        <v>0</v>
      </c>
      <c r="AA39" s="8">
        <f t="shared" si="11"/>
        <v>0</v>
      </c>
      <c r="AB39" s="7"/>
      <c r="AC39" s="10"/>
      <c r="AD39" s="9">
        <f t="shared" si="12"/>
        <v>0</v>
      </c>
      <c r="AE39" s="8">
        <f t="shared" si="13"/>
        <v>0</v>
      </c>
      <c r="AF39" s="7"/>
      <c r="AG39" s="10"/>
      <c r="AH39" s="9">
        <f t="shared" si="14"/>
        <v>0</v>
      </c>
      <c r="AI39" s="8">
        <f t="shared" si="15"/>
        <v>0</v>
      </c>
      <c r="AJ39" s="7"/>
      <c r="AK39" s="10"/>
      <c r="AL39" s="9">
        <f t="shared" si="16"/>
        <v>0</v>
      </c>
      <c r="AM39" s="8">
        <f t="shared" si="17"/>
        <v>0</v>
      </c>
      <c r="AN39" s="7"/>
      <c r="AO39" s="10"/>
      <c r="AP39" s="9">
        <f t="shared" si="18"/>
        <v>0</v>
      </c>
      <c r="AQ39" s="8">
        <f t="shared" si="19"/>
        <v>0</v>
      </c>
      <c r="AR39" s="7"/>
      <c r="AS39" s="10"/>
      <c r="AT39" s="9">
        <f t="shared" si="20"/>
        <v>0</v>
      </c>
      <c r="AU39" s="8">
        <f t="shared" si="21"/>
        <v>0</v>
      </c>
      <c r="AV39" s="7"/>
      <c r="AW39" s="10"/>
      <c r="AX39" s="9">
        <f t="shared" si="22"/>
        <v>0</v>
      </c>
      <c r="AY39" s="8">
        <f t="shared" si="23"/>
        <v>0</v>
      </c>
      <c r="AZ39" s="7"/>
      <c r="BA39" s="10"/>
      <c r="BB39" s="9">
        <f t="shared" si="24"/>
        <v>0</v>
      </c>
      <c r="BC39" s="8">
        <f t="shared" si="25"/>
        <v>0</v>
      </c>
      <c r="BD39" s="7"/>
      <c r="BE39" s="10"/>
      <c r="BF39" s="9">
        <f t="shared" si="26"/>
        <v>0</v>
      </c>
      <c r="BG39" s="8">
        <f t="shared" si="27"/>
        <v>0</v>
      </c>
      <c r="BH39" s="7"/>
      <c r="BI39" s="10"/>
      <c r="BJ39" s="9">
        <f t="shared" si="28"/>
        <v>0</v>
      </c>
      <c r="BK39" s="8">
        <f t="shared" si="29"/>
        <v>0</v>
      </c>
      <c r="BL39" s="7"/>
      <c r="BM39" s="10"/>
      <c r="BN39" s="9">
        <f t="shared" si="30"/>
        <v>0</v>
      </c>
      <c r="BO39" s="8">
        <f t="shared" si="31"/>
        <v>0</v>
      </c>
      <c r="BP39" s="7"/>
      <c r="BQ39" s="10"/>
      <c r="BR39" s="9">
        <f t="shared" si="32"/>
        <v>0</v>
      </c>
      <c r="BS39" s="8">
        <f t="shared" si="33"/>
        <v>0</v>
      </c>
      <c r="BT39" s="7"/>
      <c r="BU39" s="10"/>
      <c r="BV39" s="9">
        <f t="shared" si="34"/>
        <v>0</v>
      </c>
      <c r="BW39" s="8">
        <f t="shared" si="35"/>
        <v>0</v>
      </c>
      <c r="BX39" s="7"/>
      <c r="BY39" s="10"/>
      <c r="BZ39" s="9">
        <f t="shared" si="36"/>
        <v>0</v>
      </c>
      <c r="CA39" s="8">
        <f t="shared" si="37"/>
        <v>0</v>
      </c>
      <c r="CB39" s="7"/>
      <c r="CC39" s="10"/>
      <c r="CD39" s="9">
        <f t="shared" si="38"/>
        <v>0</v>
      </c>
      <c r="CE39" s="8">
        <f t="shared" si="39"/>
        <v>0</v>
      </c>
      <c r="CF39" s="7"/>
      <c r="CG39" s="10"/>
      <c r="CH39" s="9">
        <f t="shared" si="40"/>
        <v>0</v>
      </c>
      <c r="CI39" s="8">
        <f t="shared" si="41"/>
        <v>0</v>
      </c>
      <c r="CJ39" s="7"/>
      <c r="CK39" s="10"/>
      <c r="CL39" s="9">
        <f t="shared" si="42"/>
        <v>0</v>
      </c>
      <c r="CM39" s="8">
        <f t="shared" si="43"/>
        <v>0</v>
      </c>
      <c r="CN39" s="7"/>
      <c r="CO39" s="10"/>
      <c r="CP39" s="9">
        <f t="shared" si="44"/>
        <v>0</v>
      </c>
      <c r="CQ39" s="8">
        <f t="shared" si="45"/>
        <v>0</v>
      </c>
      <c r="CR39" s="7"/>
      <c r="CS39" s="10"/>
      <c r="CT39" s="9">
        <f t="shared" si="46"/>
        <v>0</v>
      </c>
      <c r="CU39" s="8">
        <f t="shared" si="47"/>
        <v>0</v>
      </c>
      <c r="CV39" s="7"/>
      <c r="CW39" s="10"/>
      <c r="CX39" s="9">
        <f t="shared" si="48"/>
        <v>0</v>
      </c>
      <c r="CY39" s="8">
        <f t="shared" si="49"/>
        <v>0</v>
      </c>
      <c r="CZ39" s="7"/>
      <c r="DA39" s="10"/>
      <c r="DB39" s="9">
        <f t="shared" si="50"/>
        <v>0</v>
      </c>
      <c r="DC39" s="8">
        <f t="shared" si="51"/>
        <v>0</v>
      </c>
      <c r="DD39" s="7"/>
      <c r="DE39" s="10"/>
      <c r="DF39" s="9">
        <f t="shared" si="52"/>
        <v>0</v>
      </c>
      <c r="DG39" s="8">
        <f t="shared" si="53"/>
        <v>0</v>
      </c>
      <c r="DH39" s="7"/>
      <c r="DI39" s="10"/>
      <c r="DJ39" s="9">
        <f t="shared" si="54"/>
        <v>0</v>
      </c>
      <c r="DK39" s="8">
        <f t="shared" si="55"/>
        <v>0</v>
      </c>
    </row>
    <row r="40" spans="1:115" ht="16" customHeight="1" thickBot="1">
      <c r="A40" s="134" t="s">
        <v>83</v>
      </c>
      <c r="B40" s="133" t="s">
        <v>137</v>
      </c>
      <c r="C40" s="124" t="s">
        <v>137</v>
      </c>
      <c r="D40" s="122"/>
      <c r="E40" s="10"/>
      <c r="F40" s="9">
        <f t="shared" si="0"/>
        <v>0</v>
      </c>
      <c r="G40" s="8">
        <f t="shared" si="1"/>
        <v>0</v>
      </c>
      <c r="H40" s="7"/>
      <c r="I40" s="10"/>
      <c r="J40" s="9">
        <f t="shared" si="2"/>
        <v>0</v>
      </c>
      <c r="K40" s="8">
        <f t="shared" si="3"/>
        <v>0</v>
      </c>
      <c r="L40" s="10"/>
      <c r="M40" s="10"/>
      <c r="N40" s="9">
        <f t="shared" si="4"/>
        <v>0</v>
      </c>
      <c r="O40" s="8">
        <f t="shared" si="5"/>
        <v>0</v>
      </c>
      <c r="P40" s="7"/>
      <c r="Q40" s="10"/>
      <c r="R40" s="9">
        <f t="shared" si="6"/>
        <v>0</v>
      </c>
      <c r="S40" s="8">
        <f t="shared" si="7"/>
        <v>0</v>
      </c>
      <c r="T40" s="7"/>
      <c r="U40" s="10"/>
      <c r="V40" s="9">
        <f t="shared" si="8"/>
        <v>0</v>
      </c>
      <c r="W40" s="8">
        <f t="shared" si="9"/>
        <v>0</v>
      </c>
      <c r="X40" s="7"/>
      <c r="Y40" s="10"/>
      <c r="Z40" s="9">
        <f t="shared" si="10"/>
        <v>0</v>
      </c>
      <c r="AA40" s="8">
        <f t="shared" si="11"/>
        <v>0</v>
      </c>
      <c r="AB40" s="7"/>
      <c r="AC40" s="10"/>
      <c r="AD40" s="9">
        <f t="shared" si="12"/>
        <v>0</v>
      </c>
      <c r="AE40" s="8">
        <f t="shared" si="13"/>
        <v>0</v>
      </c>
      <c r="AF40" s="7"/>
      <c r="AG40" s="10"/>
      <c r="AH40" s="9">
        <f t="shared" si="14"/>
        <v>0</v>
      </c>
      <c r="AI40" s="8">
        <f t="shared" si="15"/>
        <v>0</v>
      </c>
      <c r="AJ40" s="7"/>
      <c r="AK40" s="10" t="s">
        <v>135</v>
      </c>
      <c r="AL40" s="9">
        <f t="shared" si="16"/>
        <v>0</v>
      </c>
      <c r="AM40" s="8">
        <f t="shared" si="17"/>
        <v>0</v>
      </c>
      <c r="AN40" s="7"/>
      <c r="AO40" s="10" t="s">
        <v>135</v>
      </c>
      <c r="AP40" s="9">
        <f t="shared" si="18"/>
        <v>0</v>
      </c>
      <c r="AQ40" s="8">
        <f t="shared" si="19"/>
        <v>0</v>
      </c>
      <c r="AR40" s="7"/>
      <c r="AS40" s="10"/>
      <c r="AT40" s="9">
        <f t="shared" si="20"/>
        <v>0</v>
      </c>
      <c r="AU40" s="8">
        <f t="shared" si="21"/>
        <v>0</v>
      </c>
      <c r="AV40" s="7"/>
      <c r="AW40" s="10"/>
      <c r="AX40" s="9">
        <f t="shared" si="22"/>
        <v>0</v>
      </c>
      <c r="AY40" s="8">
        <f t="shared" si="23"/>
        <v>0</v>
      </c>
      <c r="AZ40" s="7"/>
      <c r="BA40" s="10"/>
      <c r="BB40" s="9">
        <f t="shared" si="24"/>
        <v>0</v>
      </c>
      <c r="BC40" s="8">
        <f t="shared" si="25"/>
        <v>0</v>
      </c>
      <c r="BD40" s="7"/>
      <c r="BE40" s="10"/>
      <c r="BF40" s="9">
        <f t="shared" si="26"/>
        <v>0</v>
      </c>
      <c r="BG40" s="8">
        <f t="shared" si="27"/>
        <v>0</v>
      </c>
      <c r="BH40" s="7"/>
      <c r="BI40" s="10"/>
      <c r="BJ40" s="9">
        <f t="shared" si="28"/>
        <v>0</v>
      </c>
      <c r="BK40" s="8">
        <f t="shared" si="29"/>
        <v>0</v>
      </c>
      <c r="BL40" s="7"/>
      <c r="BM40" s="10"/>
      <c r="BN40" s="9">
        <f t="shared" si="30"/>
        <v>0</v>
      </c>
      <c r="BO40" s="8">
        <f t="shared" si="31"/>
        <v>0</v>
      </c>
      <c r="BP40" s="7"/>
      <c r="BQ40" s="10"/>
      <c r="BR40" s="9">
        <f t="shared" si="32"/>
        <v>0</v>
      </c>
      <c r="BS40" s="8">
        <f t="shared" si="33"/>
        <v>0</v>
      </c>
      <c r="BT40" s="7"/>
      <c r="BU40" s="10"/>
      <c r="BV40" s="9">
        <f t="shared" si="34"/>
        <v>0</v>
      </c>
      <c r="BW40" s="8">
        <f t="shared" si="35"/>
        <v>0</v>
      </c>
      <c r="BX40" s="7"/>
      <c r="BY40" s="10"/>
      <c r="BZ40" s="9">
        <f t="shared" si="36"/>
        <v>0</v>
      </c>
      <c r="CA40" s="8">
        <f t="shared" si="37"/>
        <v>0</v>
      </c>
      <c r="CB40" s="7"/>
      <c r="CC40" s="10"/>
      <c r="CD40" s="9">
        <f t="shared" si="38"/>
        <v>0</v>
      </c>
      <c r="CE40" s="8">
        <f t="shared" si="39"/>
        <v>0</v>
      </c>
      <c r="CF40" s="7"/>
      <c r="CG40" s="10"/>
      <c r="CH40" s="9">
        <f t="shared" si="40"/>
        <v>0</v>
      </c>
      <c r="CI40" s="8">
        <f t="shared" si="41"/>
        <v>0</v>
      </c>
      <c r="CJ40" s="7"/>
      <c r="CK40" s="10"/>
      <c r="CL40" s="9">
        <f t="shared" si="42"/>
        <v>0</v>
      </c>
      <c r="CM40" s="8">
        <f t="shared" si="43"/>
        <v>0</v>
      </c>
      <c r="CN40" s="7"/>
      <c r="CO40" s="10"/>
      <c r="CP40" s="9">
        <f t="shared" si="44"/>
        <v>0</v>
      </c>
      <c r="CQ40" s="8">
        <f t="shared" si="45"/>
        <v>0</v>
      </c>
      <c r="CR40" s="7"/>
      <c r="CS40" s="10"/>
      <c r="CT40" s="9">
        <f t="shared" si="46"/>
        <v>0</v>
      </c>
      <c r="CU40" s="8">
        <f t="shared" si="47"/>
        <v>0</v>
      </c>
      <c r="CV40" s="7"/>
      <c r="CW40" s="10"/>
      <c r="CX40" s="9">
        <f t="shared" si="48"/>
        <v>0</v>
      </c>
      <c r="CY40" s="8">
        <f t="shared" si="49"/>
        <v>0</v>
      </c>
      <c r="CZ40" s="7"/>
      <c r="DA40" s="10"/>
      <c r="DB40" s="9">
        <f t="shared" si="50"/>
        <v>0</v>
      </c>
      <c r="DC40" s="8">
        <f t="shared" si="51"/>
        <v>0</v>
      </c>
      <c r="DD40" s="7"/>
      <c r="DE40" s="10"/>
      <c r="DF40" s="9">
        <f t="shared" si="52"/>
        <v>0</v>
      </c>
      <c r="DG40" s="8">
        <f t="shared" si="53"/>
        <v>0</v>
      </c>
      <c r="DH40" s="7"/>
      <c r="DI40" s="10"/>
      <c r="DJ40" s="9">
        <f t="shared" si="54"/>
        <v>0</v>
      </c>
      <c r="DK40" s="8">
        <f t="shared" si="55"/>
        <v>0</v>
      </c>
    </row>
    <row r="41" spans="1:115" ht="16" customHeight="1" thickBot="1">
      <c r="A41" s="134" t="s">
        <v>84</v>
      </c>
      <c r="B41" s="133" t="s">
        <v>137</v>
      </c>
      <c r="C41" s="124" t="s">
        <v>137</v>
      </c>
      <c r="D41" s="122"/>
      <c r="E41" s="10"/>
      <c r="F41" s="9">
        <f t="shared" si="0"/>
        <v>0</v>
      </c>
      <c r="G41" s="8">
        <f t="shared" si="1"/>
        <v>0</v>
      </c>
      <c r="H41" s="7"/>
      <c r="I41" s="10"/>
      <c r="J41" s="9">
        <f t="shared" si="2"/>
        <v>0</v>
      </c>
      <c r="K41" s="8">
        <f t="shared" si="3"/>
        <v>0</v>
      </c>
      <c r="L41" s="10"/>
      <c r="M41" s="10"/>
      <c r="N41" s="9">
        <f t="shared" si="4"/>
        <v>0</v>
      </c>
      <c r="O41" s="8">
        <f t="shared" si="5"/>
        <v>0</v>
      </c>
      <c r="P41" s="7"/>
      <c r="Q41" s="10"/>
      <c r="R41" s="9">
        <f t="shared" si="6"/>
        <v>0</v>
      </c>
      <c r="S41" s="8">
        <f t="shared" si="7"/>
        <v>0</v>
      </c>
      <c r="T41" s="7"/>
      <c r="U41" s="10"/>
      <c r="V41" s="9">
        <f t="shared" si="8"/>
        <v>0</v>
      </c>
      <c r="W41" s="8">
        <f t="shared" si="9"/>
        <v>0</v>
      </c>
      <c r="X41" s="7"/>
      <c r="Y41" s="10"/>
      <c r="Z41" s="9">
        <f t="shared" si="10"/>
        <v>0</v>
      </c>
      <c r="AA41" s="8">
        <f t="shared" si="11"/>
        <v>0</v>
      </c>
      <c r="AB41" s="7"/>
      <c r="AC41" s="10"/>
      <c r="AD41" s="9">
        <f t="shared" si="12"/>
        <v>0</v>
      </c>
      <c r="AE41" s="8">
        <f t="shared" si="13"/>
        <v>0</v>
      </c>
      <c r="AF41" s="7"/>
      <c r="AG41" s="10"/>
      <c r="AH41" s="9">
        <f t="shared" si="14"/>
        <v>0</v>
      </c>
      <c r="AI41" s="8">
        <f t="shared" si="15"/>
        <v>0</v>
      </c>
      <c r="AJ41" s="7"/>
      <c r="AK41" s="10"/>
      <c r="AL41" s="9">
        <f t="shared" si="16"/>
        <v>0</v>
      </c>
      <c r="AM41" s="8">
        <f t="shared" si="17"/>
        <v>0</v>
      </c>
      <c r="AN41" s="7"/>
      <c r="AO41" s="10"/>
      <c r="AP41" s="9">
        <f t="shared" si="18"/>
        <v>0</v>
      </c>
      <c r="AQ41" s="8">
        <f t="shared" si="19"/>
        <v>0</v>
      </c>
      <c r="AR41" s="7"/>
      <c r="AS41" s="10"/>
      <c r="AT41" s="9">
        <f t="shared" si="20"/>
        <v>0</v>
      </c>
      <c r="AU41" s="8">
        <f t="shared" si="21"/>
        <v>0</v>
      </c>
      <c r="AV41" s="7"/>
      <c r="AW41" s="10"/>
      <c r="AX41" s="9">
        <f t="shared" si="22"/>
        <v>0</v>
      </c>
      <c r="AY41" s="8">
        <f t="shared" si="23"/>
        <v>0</v>
      </c>
      <c r="AZ41" s="7"/>
      <c r="BA41" s="10"/>
      <c r="BB41" s="9">
        <f t="shared" si="24"/>
        <v>0</v>
      </c>
      <c r="BC41" s="8">
        <f t="shared" si="25"/>
        <v>0</v>
      </c>
      <c r="BD41" s="7"/>
      <c r="BE41" s="10"/>
      <c r="BF41" s="9">
        <f t="shared" si="26"/>
        <v>0</v>
      </c>
      <c r="BG41" s="8">
        <f t="shared" si="27"/>
        <v>0</v>
      </c>
      <c r="BH41" s="7"/>
      <c r="BI41" s="10"/>
      <c r="BJ41" s="9">
        <f t="shared" si="28"/>
        <v>0</v>
      </c>
      <c r="BK41" s="8">
        <f t="shared" si="29"/>
        <v>0</v>
      </c>
      <c r="BL41" s="7"/>
      <c r="BM41" s="10"/>
      <c r="BN41" s="9">
        <f t="shared" si="30"/>
        <v>0</v>
      </c>
      <c r="BO41" s="8">
        <f t="shared" si="31"/>
        <v>0</v>
      </c>
      <c r="BP41" s="7"/>
      <c r="BQ41" s="10"/>
      <c r="BR41" s="9">
        <f t="shared" si="32"/>
        <v>0</v>
      </c>
      <c r="BS41" s="8">
        <f t="shared" si="33"/>
        <v>0</v>
      </c>
      <c r="BT41" s="7"/>
      <c r="BU41" s="10"/>
      <c r="BV41" s="9">
        <f t="shared" si="34"/>
        <v>0</v>
      </c>
      <c r="BW41" s="8">
        <f t="shared" si="35"/>
        <v>0</v>
      </c>
      <c r="BX41" s="7"/>
      <c r="BY41" s="10"/>
      <c r="BZ41" s="9">
        <f t="shared" si="36"/>
        <v>0</v>
      </c>
      <c r="CA41" s="8">
        <f t="shared" si="37"/>
        <v>0</v>
      </c>
      <c r="CB41" s="7"/>
      <c r="CC41" s="10"/>
      <c r="CD41" s="9">
        <f t="shared" si="38"/>
        <v>0</v>
      </c>
      <c r="CE41" s="8">
        <f t="shared" si="39"/>
        <v>0</v>
      </c>
      <c r="CF41" s="7"/>
      <c r="CG41" s="10"/>
      <c r="CH41" s="9">
        <f t="shared" si="40"/>
        <v>0</v>
      </c>
      <c r="CI41" s="8">
        <f t="shared" si="41"/>
        <v>0</v>
      </c>
      <c r="CJ41" s="7"/>
      <c r="CK41" s="10"/>
      <c r="CL41" s="9">
        <f t="shared" si="42"/>
        <v>0</v>
      </c>
      <c r="CM41" s="8">
        <f t="shared" si="43"/>
        <v>0</v>
      </c>
      <c r="CN41" s="7"/>
      <c r="CO41" s="10"/>
      <c r="CP41" s="9">
        <f t="shared" si="44"/>
        <v>0</v>
      </c>
      <c r="CQ41" s="8">
        <f t="shared" si="45"/>
        <v>0</v>
      </c>
      <c r="CR41" s="7"/>
      <c r="CS41" s="10"/>
      <c r="CT41" s="9">
        <f t="shared" si="46"/>
        <v>0</v>
      </c>
      <c r="CU41" s="8">
        <f t="shared" si="47"/>
        <v>0</v>
      </c>
      <c r="CV41" s="7"/>
      <c r="CW41" s="10"/>
      <c r="CX41" s="9">
        <f t="shared" si="48"/>
        <v>0</v>
      </c>
      <c r="CY41" s="8">
        <f t="shared" si="49"/>
        <v>0</v>
      </c>
      <c r="CZ41" s="7"/>
      <c r="DA41" s="10"/>
      <c r="DB41" s="9">
        <f t="shared" si="50"/>
        <v>0</v>
      </c>
      <c r="DC41" s="8">
        <f t="shared" si="51"/>
        <v>0</v>
      </c>
      <c r="DD41" s="7"/>
      <c r="DE41" s="10"/>
      <c r="DF41" s="9">
        <f t="shared" si="52"/>
        <v>0</v>
      </c>
      <c r="DG41" s="8">
        <f t="shared" si="53"/>
        <v>0</v>
      </c>
      <c r="DH41" s="7"/>
      <c r="DI41" s="10"/>
      <c r="DJ41" s="9">
        <f t="shared" si="54"/>
        <v>0</v>
      </c>
      <c r="DK41" s="8">
        <f t="shared" si="55"/>
        <v>0</v>
      </c>
    </row>
    <row r="42" spans="1:115" ht="16" customHeight="1" thickBot="1">
      <c r="A42" s="134" t="s">
        <v>85</v>
      </c>
      <c r="B42" s="133" t="s">
        <v>137</v>
      </c>
      <c r="C42" s="124" t="s">
        <v>137</v>
      </c>
      <c r="D42" s="122"/>
      <c r="E42" s="10"/>
      <c r="F42" s="9">
        <f t="shared" si="0"/>
        <v>0</v>
      </c>
      <c r="G42" s="8">
        <f t="shared" si="1"/>
        <v>0</v>
      </c>
      <c r="H42" s="7"/>
      <c r="I42" s="10"/>
      <c r="J42" s="9">
        <f t="shared" si="2"/>
        <v>0</v>
      </c>
      <c r="K42" s="8">
        <f t="shared" si="3"/>
        <v>0</v>
      </c>
      <c r="L42" s="10"/>
      <c r="M42" s="10"/>
      <c r="N42" s="9">
        <f t="shared" si="4"/>
        <v>0</v>
      </c>
      <c r="O42" s="8">
        <f t="shared" si="5"/>
        <v>0</v>
      </c>
      <c r="P42" s="7"/>
      <c r="Q42" s="10"/>
      <c r="R42" s="9">
        <f t="shared" si="6"/>
        <v>0</v>
      </c>
      <c r="S42" s="8">
        <f t="shared" si="7"/>
        <v>0</v>
      </c>
      <c r="T42" s="7"/>
      <c r="U42" s="10"/>
      <c r="V42" s="9">
        <f t="shared" si="8"/>
        <v>0</v>
      </c>
      <c r="W42" s="8">
        <f t="shared" si="9"/>
        <v>0</v>
      </c>
      <c r="X42" s="7"/>
      <c r="Y42" s="10"/>
      <c r="Z42" s="9">
        <f t="shared" si="10"/>
        <v>0</v>
      </c>
      <c r="AA42" s="8">
        <f t="shared" si="11"/>
        <v>0</v>
      </c>
      <c r="AB42" s="7"/>
      <c r="AC42" s="10"/>
      <c r="AD42" s="9">
        <f t="shared" si="12"/>
        <v>0</v>
      </c>
      <c r="AE42" s="8">
        <f t="shared" si="13"/>
        <v>0</v>
      </c>
      <c r="AF42" s="7"/>
      <c r="AG42" s="10"/>
      <c r="AH42" s="9">
        <f t="shared" si="14"/>
        <v>0</v>
      </c>
      <c r="AI42" s="8">
        <f t="shared" si="15"/>
        <v>0</v>
      </c>
      <c r="AJ42" s="7"/>
      <c r="AK42" s="10"/>
      <c r="AL42" s="9">
        <f t="shared" si="16"/>
        <v>0</v>
      </c>
      <c r="AM42" s="8">
        <f t="shared" si="17"/>
        <v>0</v>
      </c>
      <c r="AN42" s="7"/>
      <c r="AO42" s="10"/>
      <c r="AP42" s="9">
        <f t="shared" si="18"/>
        <v>0</v>
      </c>
      <c r="AQ42" s="8">
        <f t="shared" si="19"/>
        <v>0</v>
      </c>
      <c r="AR42" s="7"/>
      <c r="AS42" s="10"/>
      <c r="AT42" s="9">
        <f t="shared" si="20"/>
        <v>0</v>
      </c>
      <c r="AU42" s="8">
        <f t="shared" si="21"/>
        <v>0</v>
      </c>
      <c r="AV42" s="7"/>
      <c r="AW42" s="10"/>
      <c r="AX42" s="9">
        <f t="shared" si="22"/>
        <v>0</v>
      </c>
      <c r="AY42" s="8">
        <f t="shared" si="23"/>
        <v>0</v>
      </c>
      <c r="AZ42" s="7"/>
      <c r="BA42" s="10"/>
      <c r="BB42" s="9">
        <f t="shared" si="24"/>
        <v>0</v>
      </c>
      <c r="BC42" s="8">
        <f t="shared" si="25"/>
        <v>0</v>
      </c>
      <c r="BD42" s="7"/>
      <c r="BE42" s="10"/>
      <c r="BF42" s="9">
        <f t="shared" si="26"/>
        <v>0</v>
      </c>
      <c r="BG42" s="8">
        <f t="shared" si="27"/>
        <v>0</v>
      </c>
      <c r="BH42" s="7"/>
      <c r="BI42" s="10"/>
      <c r="BJ42" s="9">
        <f t="shared" si="28"/>
        <v>0</v>
      </c>
      <c r="BK42" s="8">
        <f t="shared" si="29"/>
        <v>0</v>
      </c>
      <c r="BL42" s="7"/>
      <c r="BM42" s="10"/>
      <c r="BN42" s="9">
        <f t="shared" si="30"/>
        <v>0</v>
      </c>
      <c r="BO42" s="8">
        <f t="shared" si="31"/>
        <v>0</v>
      </c>
      <c r="BP42" s="7"/>
      <c r="BQ42" s="10"/>
      <c r="BR42" s="9">
        <f t="shared" si="32"/>
        <v>0</v>
      </c>
      <c r="BS42" s="8">
        <f t="shared" si="33"/>
        <v>0</v>
      </c>
      <c r="BT42" s="7"/>
      <c r="BU42" s="10"/>
      <c r="BV42" s="9">
        <f t="shared" si="34"/>
        <v>0</v>
      </c>
      <c r="BW42" s="8">
        <f t="shared" si="35"/>
        <v>0</v>
      </c>
      <c r="BX42" s="7"/>
      <c r="BY42" s="10"/>
      <c r="BZ42" s="9">
        <f t="shared" si="36"/>
        <v>0</v>
      </c>
      <c r="CA42" s="8">
        <f t="shared" si="37"/>
        <v>0</v>
      </c>
      <c r="CB42" s="7"/>
      <c r="CC42" s="10"/>
      <c r="CD42" s="9">
        <f t="shared" si="38"/>
        <v>0</v>
      </c>
      <c r="CE42" s="8">
        <f t="shared" si="39"/>
        <v>0</v>
      </c>
      <c r="CF42" s="7"/>
      <c r="CG42" s="10"/>
      <c r="CH42" s="9">
        <f t="shared" si="40"/>
        <v>0</v>
      </c>
      <c r="CI42" s="8">
        <f t="shared" si="41"/>
        <v>0</v>
      </c>
      <c r="CJ42" s="7"/>
      <c r="CK42" s="10"/>
      <c r="CL42" s="9">
        <f t="shared" si="42"/>
        <v>0</v>
      </c>
      <c r="CM42" s="8">
        <f t="shared" si="43"/>
        <v>0</v>
      </c>
      <c r="CN42" s="7"/>
      <c r="CO42" s="10"/>
      <c r="CP42" s="9">
        <f t="shared" si="44"/>
        <v>0</v>
      </c>
      <c r="CQ42" s="8">
        <f t="shared" si="45"/>
        <v>0</v>
      </c>
      <c r="CR42" s="7"/>
      <c r="CS42" s="10"/>
      <c r="CT42" s="9">
        <f t="shared" si="46"/>
        <v>0</v>
      </c>
      <c r="CU42" s="8">
        <f t="shared" si="47"/>
        <v>0</v>
      </c>
      <c r="CV42" s="7"/>
      <c r="CW42" s="10"/>
      <c r="CX42" s="9">
        <f t="shared" si="48"/>
        <v>0</v>
      </c>
      <c r="CY42" s="8">
        <f t="shared" si="49"/>
        <v>0</v>
      </c>
      <c r="CZ42" s="7"/>
      <c r="DA42" s="10"/>
      <c r="DB42" s="9">
        <f t="shared" si="50"/>
        <v>0</v>
      </c>
      <c r="DC42" s="8">
        <f t="shared" si="51"/>
        <v>0</v>
      </c>
      <c r="DD42" s="7"/>
      <c r="DE42" s="10"/>
      <c r="DF42" s="9">
        <f t="shared" si="52"/>
        <v>0</v>
      </c>
      <c r="DG42" s="8">
        <f t="shared" si="53"/>
        <v>0</v>
      </c>
      <c r="DH42" s="7"/>
      <c r="DI42" s="10"/>
      <c r="DJ42" s="9">
        <f t="shared" si="54"/>
        <v>0</v>
      </c>
      <c r="DK42" s="8">
        <f t="shared" si="55"/>
        <v>0</v>
      </c>
    </row>
    <row r="43" spans="1:115" ht="16" customHeight="1" thickBot="1">
      <c r="A43" s="134" t="s">
        <v>86</v>
      </c>
      <c r="B43" s="133" t="s">
        <v>137</v>
      </c>
      <c r="C43" s="124" t="s">
        <v>137</v>
      </c>
      <c r="D43" s="122"/>
      <c r="E43" s="10"/>
      <c r="F43" s="9">
        <f t="shared" si="0"/>
        <v>0</v>
      </c>
      <c r="G43" s="8">
        <f t="shared" si="1"/>
        <v>0</v>
      </c>
      <c r="H43" s="7"/>
      <c r="I43" s="10"/>
      <c r="J43" s="9">
        <f t="shared" si="2"/>
        <v>0</v>
      </c>
      <c r="K43" s="8">
        <f t="shared" si="3"/>
        <v>0</v>
      </c>
      <c r="L43" s="10"/>
      <c r="M43" s="10"/>
      <c r="N43" s="9">
        <f t="shared" si="4"/>
        <v>0</v>
      </c>
      <c r="O43" s="8">
        <f t="shared" si="5"/>
        <v>0</v>
      </c>
      <c r="P43" s="7"/>
      <c r="Q43" s="10"/>
      <c r="R43" s="9">
        <f t="shared" si="6"/>
        <v>0</v>
      </c>
      <c r="S43" s="8">
        <f t="shared" si="7"/>
        <v>0</v>
      </c>
      <c r="T43" s="7"/>
      <c r="U43" s="10"/>
      <c r="V43" s="9">
        <f t="shared" si="8"/>
        <v>0</v>
      </c>
      <c r="W43" s="8">
        <f t="shared" si="9"/>
        <v>0</v>
      </c>
      <c r="X43" s="7"/>
      <c r="Y43" s="10"/>
      <c r="Z43" s="9">
        <f t="shared" si="10"/>
        <v>0</v>
      </c>
      <c r="AA43" s="8">
        <f t="shared" si="11"/>
        <v>0</v>
      </c>
      <c r="AB43" s="7"/>
      <c r="AC43" s="10"/>
      <c r="AD43" s="9">
        <f t="shared" si="12"/>
        <v>0</v>
      </c>
      <c r="AE43" s="8">
        <f t="shared" si="13"/>
        <v>0</v>
      </c>
      <c r="AF43" s="7"/>
      <c r="AG43" s="10"/>
      <c r="AH43" s="9">
        <f t="shared" si="14"/>
        <v>0</v>
      </c>
      <c r="AI43" s="8">
        <f t="shared" si="15"/>
        <v>0</v>
      </c>
      <c r="AJ43" s="7"/>
      <c r="AK43" s="10"/>
      <c r="AL43" s="9">
        <f t="shared" si="16"/>
        <v>0</v>
      </c>
      <c r="AM43" s="8">
        <f t="shared" si="17"/>
        <v>0</v>
      </c>
      <c r="AN43" s="7"/>
      <c r="AO43" s="10"/>
      <c r="AP43" s="9">
        <f t="shared" si="18"/>
        <v>0</v>
      </c>
      <c r="AQ43" s="8">
        <f t="shared" si="19"/>
        <v>0</v>
      </c>
      <c r="AR43" s="7"/>
      <c r="AS43" s="10"/>
      <c r="AT43" s="9">
        <f t="shared" si="20"/>
        <v>0</v>
      </c>
      <c r="AU43" s="8">
        <f t="shared" si="21"/>
        <v>0</v>
      </c>
      <c r="AV43" s="7"/>
      <c r="AW43" s="10"/>
      <c r="AX43" s="9">
        <f t="shared" si="22"/>
        <v>0</v>
      </c>
      <c r="AY43" s="8">
        <f t="shared" si="23"/>
        <v>0</v>
      </c>
      <c r="AZ43" s="7"/>
      <c r="BA43" s="10"/>
      <c r="BB43" s="9">
        <f t="shared" si="24"/>
        <v>0</v>
      </c>
      <c r="BC43" s="8">
        <f t="shared" si="25"/>
        <v>0</v>
      </c>
      <c r="BD43" s="7"/>
      <c r="BE43" s="10"/>
      <c r="BF43" s="9">
        <f t="shared" si="26"/>
        <v>0</v>
      </c>
      <c r="BG43" s="8">
        <f t="shared" si="27"/>
        <v>0</v>
      </c>
      <c r="BH43" s="7"/>
      <c r="BI43" s="10"/>
      <c r="BJ43" s="9">
        <f t="shared" si="28"/>
        <v>0</v>
      </c>
      <c r="BK43" s="8">
        <f t="shared" si="29"/>
        <v>0</v>
      </c>
      <c r="BL43" s="7"/>
      <c r="BM43" s="10"/>
      <c r="BN43" s="9">
        <f t="shared" si="30"/>
        <v>0</v>
      </c>
      <c r="BO43" s="8">
        <f t="shared" si="31"/>
        <v>0</v>
      </c>
      <c r="BP43" s="7"/>
      <c r="BQ43" s="10"/>
      <c r="BR43" s="9">
        <f t="shared" si="32"/>
        <v>0</v>
      </c>
      <c r="BS43" s="8">
        <f t="shared" si="33"/>
        <v>0</v>
      </c>
      <c r="BT43" s="7"/>
      <c r="BU43" s="10"/>
      <c r="BV43" s="9">
        <f t="shared" si="34"/>
        <v>0</v>
      </c>
      <c r="BW43" s="8">
        <f t="shared" si="35"/>
        <v>0</v>
      </c>
      <c r="BX43" s="7"/>
      <c r="BY43" s="10"/>
      <c r="BZ43" s="9">
        <f t="shared" si="36"/>
        <v>0</v>
      </c>
      <c r="CA43" s="8">
        <f t="shared" si="37"/>
        <v>0</v>
      </c>
      <c r="CB43" s="7"/>
      <c r="CC43" s="10"/>
      <c r="CD43" s="9">
        <f t="shared" si="38"/>
        <v>0</v>
      </c>
      <c r="CE43" s="8">
        <f t="shared" si="39"/>
        <v>0</v>
      </c>
      <c r="CF43" s="7"/>
      <c r="CG43" s="10"/>
      <c r="CH43" s="9">
        <f t="shared" si="40"/>
        <v>0</v>
      </c>
      <c r="CI43" s="8">
        <f t="shared" si="41"/>
        <v>0</v>
      </c>
      <c r="CJ43" s="7"/>
      <c r="CK43" s="10"/>
      <c r="CL43" s="9">
        <f t="shared" si="42"/>
        <v>0</v>
      </c>
      <c r="CM43" s="8">
        <f t="shared" si="43"/>
        <v>0</v>
      </c>
      <c r="CN43" s="7"/>
      <c r="CO43" s="10"/>
      <c r="CP43" s="9">
        <f t="shared" si="44"/>
        <v>0</v>
      </c>
      <c r="CQ43" s="8">
        <f t="shared" si="45"/>
        <v>0</v>
      </c>
      <c r="CR43" s="7"/>
      <c r="CS43" s="10"/>
      <c r="CT43" s="9">
        <f t="shared" si="46"/>
        <v>0</v>
      </c>
      <c r="CU43" s="8">
        <f t="shared" si="47"/>
        <v>0</v>
      </c>
      <c r="CV43" s="7"/>
      <c r="CW43" s="10"/>
      <c r="CX43" s="9">
        <f t="shared" si="48"/>
        <v>0</v>
      </c>
      <c r="CY43" s="8">
        <f t="shared" si="49"/>
        <v>0</v>
      </c>
      <c r="CZ43" s="7"/>
      <c r="DA43" s="10"/>
      <c r="DB43" s="9">
        <f t="shared" si="50"/>
        <v>0</v>
      </c>
      <c r="DC43" s="8">
        <f t="shared" si="51"/>
        <v>0</v>
      </c>
      <c r="DD43" s="7"/>
      <c r="DE43" s="10"/>
      <c r="DF43" s="9">
        <f t="shared" si="52"/>
        <v>0</v>
      </c>
      <c r="DG43" s="8">
        <f t="shared" si="53"/>
        <v>0</v>
      </c>
      <c r="DH43" s="7"/>
      <c r="DI43" s="10"/>
      <c r="DJ43" s="9">
        <f t="shared" si="54"/>
        <v>0</v>
      </c>
      <c r="DK43" s="8">
        <f t="shared" si="55"/>
        <v>0</v>
      </c>
    </row>
    <row r="44" spans="1:115" ht="16" customHeight="1" thickBot="1">
      <c r="A44" s="134" t="s">
        <v>87</v>
      </c>
      <c r="B44" s="133" t="s">
        <v>137</v>
      </c>
      <c r="C44" s="124" t="s">
        <v>137</v>
      </c>
      <c r="D44" s="122"/>
      <c r="E44" s="10"/>
      <c r="F44" s="9">
        <f t="shared" si="0"/>
        <v>0</v>
      </c>
      <c r="G44" s="8">
        <f t="shared" si="1"/>
        <v>0</v>
      </c>
      <c r="H44" s="7"/>
      <c r="I44" s="10" t="s">
        <v>135</v>
      </c>
      <c r="J44" s="9">
        <f t="shared" si="2"/>
        <v>0</v>
      </c>
      <c r="K44" s="8">
        <f t="shared" si="3"/>
        <v>0</v>
      </c>
      <c r="L44" s="10"/>
      <c r="M44" s="10" t="s">
        <v>135</v>
      </c>
      <c r="N44" s="9">
        <f t="shared" si="4"/>
        <v>0</v>
      </c>
      <c r="O44" s="8">
        <f t="shared" si="5"/>
        <v>0</v>
      </c>
      <c r="P44" s="7"/>
      <c r="Q44" s="10"/>
      <c r="R44" s="9">
        <f t="shared" si="6"/>
        <v>0</v>
      </c>
      <c r="S44" s="8">
        <f t="shared" si="7"/>
        <v>0</v>
      </c>
      <c r="T44" s="7"/>
      <c r="U44" s="10"/>
      <c r="V44" s="9">
        <f t="shared" si="8"/>
        <v>0</v>
      </c>
      <c r="W44" s="8">
        <f t="shared" si="9"/>
        <v>0</v>
      </c>
      <c r="X44" s="7"/>
      <c r="Y44" s="10"/>
      <c r="Z44" s="9">
        <f t="shared" si="10"/>
        <v>0</v>
      </c>
      <c r="AA44" s="8">
        <f t="shared" si="11"/>
        <v>0</v>
      </c>
      <c r="AB44" s="7"/>
      <c r="AC44" s="10"/>
      <c r="AD44" s="9">
        <f t="shared" si="12"/>
        <v>0</v>
      </c>
      <c r="AE44" s="8">
        <f t="shared" si="13"/>
        <v>0</v>
      </c>
      <c r="AF44" s="7"/>
      <c r="AG44" s="10"/>
      <c r="AH44" s="9">
        <f t="shared" si="14"/>
        <v>0</v>
      </c>
      <c r="AI44" s="8">
        <f t="shared" si="15"/>
        <v>0</v>
      </c>
      <c r="AJ44" s="7"/>
      <c r="AK44" s="10"/>
      <c r="AL44" s="9">
        <f t="shared" si="16"/>
        <v>0</v>
      </c>
      <c r="AM44" s="8">
        <f t="shared" si="17"/>
        <v>0</v>
      </c>
      <c r="AN44" s="7"/>
      <c r="AO44" s="10"/>
      <c r="AP44" s="9">
        <f t="shared" si="18"/>
        <v>0</v>
      </c>
      <c r="AQ44" s="8">
        <f t="shared" si="19"/>
        <v>0</v>
      </c>
      <c r="AR44" s="7"/>
      <c r="AS44" s="10" t="s">
        <v>135</v>
      </c>
      <c r="AT44" s="9">
        <f t="shared" si="20"/>
        <v>0</v>
      </c>
      <c r="AU44" s="8">
        <f t="shared" si="21"/>
        <v>0</v>
      </c>
      <c r="AV44" s="7"/>
      <c r="AW44" s="10"/>
      <c r="AX44" s="9">
        <f t="shared" si="22"/>
        <v>0</v>
      </c>
      <c r="AY44" s="8">
        <f t="shared" si="23"/>
        <v>0</v>
      </c>
      <c r="AZ44" s="7"/>
      <c r="BA44" s="10"/>
      <c r="BB44" s="9">
        <f t="shared" si="24"/>
        <v>0</v>
      </c>
      <c r="BC44" s="8">
        <f t="shared" si="25"/>
        <v>0</v>
      </c>
      <c r="BD44" s="7"/>
      <c r="BE44" s="10" t="s">
        <v>135</v>
      </c>
      <c r="BF44" s="9">
        <f t="shared" si="26"/>
        <v>0</v>
      </c>
      <c r="BG44" s="8">
        <f t="shared" si="27"/>
        <v>0</v>
      </c>
      <c r="BH44" s="7"/>
      <c r="BI44" s="10"/>
      <c r="BJ44" s="9">
        <f t="shared" si="28"/>
        <v>0</v>
      </c>
      <c r="BK44" s="8">
        <f t="shared" si="29"/>
        <v>0</v>
      </c>
      <c r="BL44" s="7"/>
      <c r="BM44" s="10" t="s">
        <v>135</v>
      </c>
      <c r="BN44" s="9">
        <f t="shared" si="30"/>
        <v>0</v>
      </c>
      <c r="BO44" s="8">
        <f t="shared" si="31"/>
        <v>0</v>
      </c>
      <c r="BP44" s="7"/>
      <c r="BQ44" s="10"/>
      <c r="BR44" s="9">
        <f t="shared" si="32"/>
        <v>0</v>
      </c>
      <c r="BS44" s="8">
        <f t="shared" si="33"/>
        <v>0</v>
      </c>
      <c r="BT44" s="7"/>
      <c r="BU44" s="10" t="s">
        <v>135</v>
      </c>
      <c r="BV44" s="9">
        <f t="shared" si="34"/>
        <v>0</v>
      </c>
      <c r="BW44" s="8">
        <f t="shared" si="35"/>
        <v>0</v>
      </c>
      <c r="BX44" s="7"/>
      <c r="BY44" s="10"/>
      <c r="BZ44" s="9">
        <f t="shared" si="36"/>
        <v>0</v>
      </c>
      <c r="CA44" s="8">
        <f t="shared" si="37"/>
        <v>0</v>
      </c>
      <c r="CB44" s="7"/>
      <c r="CC44" s="10"/>
      <c r="CD44" s="9">
        <f t="shared" si="38"/>
        <v>0</v>
      </c>
      <c r="CE44" s="8">
        <f t="shared" si="39"/>
        <v>0</v>
      </c>
      <c r="CF44" s="7"/>
      <c r="CG44" s="10" t="s">
        <v>135</v>
      </c>
      <c r="CH44" s="9">
        <f t="shared" si="40"/>
        <v>0</v>
      </c>
      <c r="CI44" s="8">
        <f t="shared" si="41"/>
        <v>0</v>
      </c>
      <c r="CJ44" s="7"/>
      <c r="CK44" s="10"/>
      <c r="CL44" s="9">
        <f t="shared" si="42"/>
        <v>0</v>
      </c>
      <c r="CM44" s="8">
        <f t="shared" si="43"/>
        <v>0</v>
      </c>
      <c r="CN44" s="7"/>
      <c r="CO44" s="10" t="s">
        <v>135</v>
      </c>
      <c r="CP44" s="9">
        <f t="shared" si="44"/>
        <v>0</v>
      </c>
      <c r="CQ44" s="8">
        <f t="shared" si="45"/>
        <v>0</v>
      </c>
      <c r="CR44" s="7"/>
      <c r="CS44" s="10"/>
      <c r="CT44" s="9">
        <f t="shared" si="46"/>
        <v>0</v>
      </c>
      <c r="CU44" s="8">
        <f t="shared" si="47"/>
        <v>0</v>
      </c>
      <c r="CV44" s="7"/>
      <c r="CW44" s="10"/>
      <c r="CX44" s="9">
        <f t="shared" si="48"/>
        <v>0</v>
      </c>
      <c r="CY44" s="8">
        <f t="shared" si="49"/>
        <v>0</v>
      </c>
      <c r="CZ44" s="7"/>
      <c r="DA44" s="10"/>
      <c r="DB44" s="9">
        <f t="shared" si="50"/>
        <v>0</v>
      </c>
      <c r="DC44" s="8">
        <f t="shared" si="51"/>
        <v>0</v>
      </c>
      <c r="DD44" s="7"/>
      <c r="DE44" s="10"/>
      <c r="DF44" s="9">
        <f t="shared" si="52"/>
        <v>0</v>
      </c>
      <c r="DG44" s="8">
        <f t="shared" si="53"/>
        <v>0</v>
      </c>
      <c r="DH44" s="7"/>
      <c r="DI44" s="10"/>
      <c r="DJ44" s="9">
        <f t="shared" si="54"/>
        <v>0</v>
      </c>
      <c r="DK44" s="8">
        <f t="shared" si="55"/>
        <v>0</v>
      </c>
    </row>
    <row r="45" spans="1:115" ht="16" customHeight="1" thickBot="1">
      <c r="A45" s="134" t="s">
        <v>88</v>
      </c>
      <c r="B45" s="133" t="s">
        <v>137</v>
      </c>
      <c r="C45" s="124" t="s">
        <v>137</v>
      </c>
      <c r="D45" s="122"/>
      <c r="E45" s="10"/>
      <c r="F45" s="9">
        <f t="shared" si="0"/>
        <v>0</v>
      </c>
      <c r="G45" s="8">
        <f t="shared" si="1"/>
        <v>0</v>
      </c>
      <c r="H45" s="7"/>
      <c r="I45" s="10"/>
      <c r="J45" s="9">
        <f t="shared" si="2"/>
        <v>0</v>
      </c>
      <c r="K45" s="8">
        <f t="shared" si="3"/>
        <v>0</v>
      </c>
      <c r="L45" s="10"/>
      <c r="M45" s="10"/>
      <c r="N45" s="9">
        <f t="shared" si="4"/>
        <v>0</v>
      </c>
      <c r="O45" s="8">
        <f t="shared" si="5"/>
        <v>0</v>
      </c>
      <c r="P45" s="7"/>
      <c r="Q45" s="10"/>
      <c r="R45" s="9">
        <f t="shared" si="6"/>
        <v>0</v>
      </c>
      <c r="S45" s="8">
        <f t="shared" si="7"/>
        <v>0</v>
      </c>
      <c r="T45" s="7"/>
      <c r="U45" s="10"/>
      <c r="V45" s="9">
        <f t="shared" si="8"/>
        <v>0</v>
      </c>
      <c r="W45" s="8">
        <f t="shared" si="9"/>
        <v>0</v>
      </c>
      <c r="X45" s="7"/>
      <c r="Y45" s="10"/>
      <c r="Z45" s="9">
        <f t="shared" si="10"/>
        <v>0</v>
      </c>
      <c r="AA45" s="8">
        <f t="shared" si="11"/>
        <v>0</v>
      </c>
      <c r="AB45" s="7"/>
      <c r="AC45" s="10"/>
      <c r="AD45" s="9">
        <f t="shared" si="12"/>
        <v>0</v>
      </c>
      <c r="AE45" s="8">
        <f t="shared" si="13"/>
        <v>0</v>
      </c>
      <c r="AF45" s="7"/>
      <c r="AG45" s="10"/>
      <c r="AH45" s="9">
        <f t="shared" si="14"/>
        <v>0</v>
      </c>
      <c r="AI45" s="8">
        <f t="shared" si="15"/>
        <v>0</v>
      </c>
      <c r="AJ45" s="7"/>
      <c r="AK45" s="10"/>
      <c r="AL45" s="9">
        <f t="shared" si="16"/>
        <v>0</v>
      </c>
      <c r="AM45" s="8">
        <f t="shared" si="17"/>
        <v>0</v>
      </c>
      <c r="AN45" s="7"/>
      <c r="AO45" s="10"/>
      <c r="AP45" s="9">
        <f t="shared" si="18"/>
        <v>0</v>
      </c>
      <c r="AQ45" s="8">
        <f t="shared" si="19"/>
        <v>0</v>
      </c>
      <c r="AR45" s="7"/>
      <c r="AS45" s="10"/>
      <c r="AT45" s="9">
        <f t="shared" si="20"/>
        <v>0</v>
      </c>
      <c r="AU45" s="8">
        <f t="shared" si="21"/>
        <v>0</v>
      </c>
      <c r="AV45" s="7"/>
      <c r="AW45" s="10"/>
      <c r="AX45" s="9">
        <f t="shared" si="22"/>
        <v>0</v>
      </c>
      <c r="AY45" s="8">
        <f t="shared" si="23"/>
        <v>0</v>
      </c>
      <c r="AZ45" s="7"/>
      <c r="BA45" s="10"/>
      <c r="BB45" s="9">
        <f t="shared" si="24"/>
        <v>0</v>
      </c>
      <c r="BC45" s="8">
        <f t="shared" si="25"/>
        <v>0</v>
      </c>
      <c r="BD45" s="7"/>
      <c r="BE45" s="10"/>
      <c r="BF45" s="9">
        <f t="shared" si="26"/>
        <v>0</v>
      </c>
      <c r="BG45" s="8">
        <f t="shared" si="27"/>
        <v>0</v>
      </c>
      <c r="BH45" s="7"/>
      <c r="BI45" s="10"/>
      <c r="BJ45" s="9">
        <f t="shared" si="28"/>
        <v>0</v>
      </c>
      <c r="BK45" s="8">
        <f t="shared" si="29"/>
        <v>0</v>
      </c>
      <c r="BL45" s="7"/>
      <c r="BM45" s="10"/>
      <c r="BN45" s="9">
        <f t="shared" si="30"/>
        <v>0</v>
      </c>
      <c r="BO45" s="8">
        <f t="shared" si="31"/>
        <v>0</v>
      </c>
      <c r="BP45" s="7"/>
      <c r="BQ45" s="10"/>
      <c r="BR45" s="9">
        <f t="shared" si="32"/>
        <v>0</v>
      </c>
      <c r="BS45" s="8">
        <f t="shared" si="33"/>
        <v>0</v>
      </c>
      <c r="BT45" s="7"/>
      <c r="BU45" s="10"/>
      <c r="BV45" s="9">
        <f t="shared" si="34"/>
        <v>0</v>
      </c>
      <c r="BW45" s="8">
        <f t="shared" si="35"/>
        <v>0</v>
      </c>
      <c r="BX45" s="7"/>
      <c r="BY45" s="10"/>
      <c r="BZ45" s="9">
        <f t="shared" si="36"/>
        <v>0</v>
      </c>
      <c r="CA45" s="8">
        <f t="shared" si="37"/>
        <v>0</v>
      </c>
      <c r="CB45" s="7"/>
      <c r="CC45" s="10"/>
      <c r="CD45" s="9">
        <f t="shared" si="38"/>
        <v>0</v>
      </c>
      <c r="CE45" s="8">
        <f t="shared" si="39"/>
        <v>0</v>
      </c>
      <c r="CF45" s="7"/>
      <c r="CG45" s="10"/>
      <c r="CH45" s="9">
        <f t="shared" si="40"/>
        <v>0</v>
      </c>
      <c r="CI45" s="8">
        <f t="shared" si="41"/>
        <v>0</v>
      </c>
      <c r="CJ45" s="7"/>
      <c r="CK45" s="10"/>
      <c r="CL45" s="9">
        <f t="shared" si="42"/>
        <v>0</v>
      </c>
      <c r="CM45" s="8">
        <f t="shared" si="43"/>
        <v>0</v>
      </c>
      <c r="CN45" s="7"/>
      <c r="CO45" s="10"/>
      <c r="CP45" s="9">
        <f t="shared" si="44"/>
        <v>0</v>
      </c>
      <c r="CQ45" s="8">
        <f t="shared" si="45"/>
        <v>0</v>
      </c>
      <c r="CR45" s="7"/>
      <c r="CS45" s="10"/>
      <c r="CT45" s="9">
        <f t="shared" si="46"/>
        <v>0</v>
      </c>
      <c r="CU45" s="8">
        <f t="shared" si="47"/>
        <v>0</v>
      </c>
      <c r="CV45" s="7"/>
      <c r="CW45" s="10"/>
      <c r="CX45" s="9">
        <f t="shared" si="48"/>
        <v>0</v>
      </c>
      <c r="CY45" s="8">
        <f t="shared" si="49"/>
        <v>0</v>
      </c>
      <c r="CZ45" s="7"/>
      <c r="DA45" s="10"/>
      <c r="DB45" s="9">
        <f t="shared" si="50"/>
        <v>0</v>
      </c>
      <c r="DC45" s="8">
        <f t="shared" si="51"/>
        <v>0</v>
      </c>
      <c r="DD45" s="7"/>
      <c r="DE45" s="10"/>
      <c r="DF45" s="9">
        <f t="shared" si="52"/>
        <v>0</v>
      </c>
      <c r="DG45" s="8">
        <f t="shared" si="53"/>
        <v>0</v>
      </c>
      <c r="DH45" s="7"/>
      <c r="DI45" s="10"/>
      <c r="DJ45" s="9">
        <f t="shared" si="54"/>
        <v>0</v>
      </c>
      <c r="DK45" s="8">
        <f t="shared" si="55"/>
        <v>0</v>
      </c>
    </row>
    <row r="46" spans="1:115" ht="16" customHeight="1" thickBot="1">
      <c r="A46" s="134" t="s">
        <v>89</v>
      </c>
      <c r="B46" s="133" t="s">
        <v>137</v>
      </c>
      <c r="C46" s="124" t="s">
        <v>137</v>
      </c>
      <c r="D46" s="122"/>
      <c r="E46" s="10"/>
      <c r="F46" s="9">
        <f t="shared" si="0"/>
        <v>0</v>
      </c>
      <c r="G46" s="8">
        <f t="shared" si="1"/>
        <v>0</v>
      </c>
      <c r="H46" s="7"/>
      <c r="I46" s="10"/>
      <c r="J46" s="9">
        <f t="shared" si="2"/>
        <v>0</v>
      </c>
      <c r="K46" s="8">
        <f t="shared" si="3"/>
        <v>0</v>
      </c>
      <c r="L46" s="10"/>
      <c r="M46" s="10"/>
      <c r="N46" s="9">
        <f t="shared" si="4"/>
        <v>0</v>
      </c>
      <c r="O46" s="8">
        <f t="shared" si="5"/>
        <v>0</v>
      </c>
      <c r="P46" s="7"/>
      <c r="Q46" s="10"/>
      <c r="R46" s="9">
        <f t="shared" si="6"/>
        <v>0</v>
      </c>
      <c r="S46" s="8">
        <f t="shared" si="7"/>
        <v>0</v>
      </c>
      <c r="T46" s="7"/>
      <c r="U46" s="10"/>
      <c r="V46" s="9">
        <f t="shared" si="8"/>
        <v>0</v>
      </c>
      <c r="W46" s="8">
        <f t="shared" si="9"/>
        <v>0</v>
      </c>
      <c r="X46" s="7"/>
      <c r="Y46" s="10"/>
      <c r="Z46" s="9">
        <f t="shared" si="10"/>
        <v>0</v>
      </c>
      <c r="AA46" s="8">
        <f t="shared" si="11"/>
        <v>0</v>
      </c>
      <c r="AB46" s="7"/>
      <c r="AC46" s="10"/>
      <c r="AD46" s="9">
        <f t="shared" si="12"/>
        <v>0</v>
      </c>
      <c r="AE46" s="8">
        <f t="shared" si="13"/>
        <v>0</v>
      </c>
      <c r="AF46" s="7"/>
      <c r="AG46" s="10"/>
      <c r="AH46" s="9">
        <f t="shared" si="14"/>
        <v>0</v>
      </c>
      <c r="AI46" s="8">
        <f t="shared" si="15"/>
        <v>0</v>
      </c>
      <c r="AJ46" s="7"/>
      <c r="AK46" s="10"/>
      <c r="AL46" s="9">
        <f t="shared" si="16"/>
        <v>0</v>
      </c>
      <c r="AM46" s="8">
        <f t="shared" si="17"/>
        <v>0</v>
      </c>
      <c r="AN46" s="7"/>
      <c r="AO46" s="10"/>
      <c r="AP46" s="9">
        <f t="shared" si="18"/>
        <v>0</v>
      </c>
      <c r="AQ46" s="8">
        <f t="shared" si="19"/>
        <v>0</v>
      </c>
      <c r="AR46" s="7"/>
      <c r="AS46" s="10"/>
      <c r="AT46" s="9">
        <f t="shared" si="20"/>
        <v>0</v>
      </c>
      <c r="AU46" s="8">
        <f t="shared" si="21"/>
        <v>0</v>
      </c>
      <c r="AV46" s="7"/>
      <c r="AW46" s="10"/>
      <c r="AX46" s="9">
        <f t="shared" si="22"/>
        <v>0</v>
      </c>
      <c r="AY46" s="8">
        <f t="shared" si="23"/>
        <v>0</v>
      </c>
      <c r="AZ46" s="7"/>
      <c r="BA46" s="10"/>
      <c r="BB46" s="9">
        <f t="shared" si="24"/>
        <v>0</v>
      </c>
      <c r="BC46" s="8">
        <f t="shared" si="25"/>
        <v>0</v>
      </c>
      <c r="BD46" s="7"/>
      <c r="BE46" s="10"/>
      <c r="BF46" s="9">
        <f t="shared" si="26"/>
        <v>0</v>
      </c>
      <c r="BG46" s="8">
        <f t="shared" si="27"/>
        <v>0</v>
      </c>
      <c r="BH46" s="7"/>
      <c r="BI46" s="10"/>
      <c r="BJ46" s="9">
        <f t="shared" si="28"/>
        <v>0</v>
      </c>
      <c r="BK46" s="8">
        <f t="shared" si="29"/>
        <v>0</v>
      </c>
      <c r="BL46" s="7"/>
      <c r="BM46" s="10"/>
      <c r="BN46" s="9">
        <f t="shared" si="30"/>
        <v>0</v>
      </c>
      <c r="BO46" s="8">
        <f t="shared" si="31"/>
        <v>0</v>
      </c>
      <c r="BP46" s="7"/>
      <c r="BQ46" s="10"/>
      <c r="BR46" s="9">
        <f t="shared" si="32"/>
        <v>0</v>
      </c>
      <c r="BS46" s="8">
        <f t="shared" si="33"/>
        <v>0</v>
      </c>
      <c r="BT46" s="7"/>
      <c r="BU46" s="10"/>
      <c r="BV46" s="9">
        <f t="shared" si="34"/>
        <v>0</v>
      </c>
      <c r="BW46" s="8">
        <f t="shared" si="35"/>
        <v>0</v>
      </c>
      <c r="BX46" s="7"/>
      <c r="BY46" s="10"/>
      <c r="BZ46" s="9">
        <f t="shared" si="36"/>
        <v>0</v>
      </c>
      <c r="CA46" s="8">
        <f t="shared" si="37"/>
        <v>0</v>
      </c>
      <c r="CB46" s="7"/>
      <c r="CC46" s="10"/>
      <c r="CD46" s="9">
        <f t="shared" si="38"/>
        <v>0</v>
      </c>
      <c r="CE46" s="8">
        <f t="shared" si="39"/>
        <v>0</v>
      </c>
      <c r="CF46" s="7"/>
      <c r="CG46" s="10"/>
      <c r="CH46" s="9">
        <f t="shared" si="40"/>
        <v>0</v>
      </c>
      <c r="CI46" s="8">
        <f t="shared" si="41"/>
        <v>0</v>
      </c>
      <c r="CJ46" s="7"/>
      <c r="CK46" s="10"/>
      <c r="CL46" s="9">
        <f t="shared" si="42"/>
        <v>0</v>
      </c>
      <c r="CM46" s="8">
        <f t="shared" si="43"/>
        <v>0</v>
      </c>
      <c r="CN46" s="7"/>
      <c r="CO46" s="10"/>
      <c r="CP46" s="9">
        <f t="shared" si="44"/>
        <v>0</v>
      </c>
      <c r="CQ46" s="8">
        <f t="shared" si="45"/>
        <v>0</v>
      </c>
      <c r="CR46" s="7"/>
      <c r="CS46" s="10"/>
      <c r="CT46" s="9">
        <f t="shared" si="46"/>
        <v>0</v>
      </c>
      <c r="CU46" s="8">
        <f t="shared" si="47"/>
        <v>0</v>
      </c>
      <c r="CV46" s="7"/>
      <c r="CW46" s="10"/>
      <c r="CX46" s="9">
        <f t="shared" si="48"/>
        <v>0</v>
      </c>
      <c r="CY46" s="8">
        <f t="shared" si="49"/>
        <v>0</v>
      </c>
      <c r="CZ46" s="7"/>
      <c r="DA46" s="10"/>
      <c r="DB46" s="9">
        <f t="shared" si="50"/>
        <v>0</v>
      </c>
      <c r="DC46" s="8">
        <f t="shared" si="51"/>
        <v>0</v>
      </c>
      <c r="DD46" s="7"/>
      <c r="DE46" s="10"/>
      <c r="DF46" s="9">
        <f t="shared" si="52"/>
        <v>0</v>
      </c>
      <c r="DG46" s="8">
        <f t="shared" si="53"/>
        <v>0</v>
      </c>
      <c r="DH46" s="7"/>
      <c r="DI46" s="10"/>
      <c r="DJ46" s="9">
        <f t="shared" si="54"/>
        <v>0</v>
      </c>
      <c r="DK46" s="8">
        <f t="shared" si="55"/>
        <v>0</v>
      </c>
    </row>
    <row r="47" spans="1:115" ht="16" customHeight="1" thickBot="1">
      <c r="A47" s="134" t="s">
        <v>90</v>
      </c>
      <c r="B47" s="133" t="s">
        <v>137</v>
      </c>
      <c r="C47" s="124" t="s">
        <v>137</v>
      </c>
      <c r="D47" s="122"/>
      <c r="E47" s="10"/>
      <c r="F47" s="9">
        <f t="shared" si="0"/>
        <v>0</v>
      </c>
      <c r="G47" s="8">
        <f t="shared" si="1"/>
        <v>0</v>
      </c>
      <c r="H47" s="7"/>
      <c r="I47" s="10"/>
      <c r="J47" s="9">
        <f t="shared" si="2"/>
        <v>0</v>
      </c>
      <c r="K47" s="8">
        <f t="shared" si="3"/>
        <v>0</v>
      </c>
      <c r="L47" s="10"/>
      <c r="M47" s="10"/>
      <c r="N47" s="9">
        <f t="shared" si="4"/>
        <v>0</v>
      </c>
      <c r="O47" s="8">
        <f t="shared" si="5"/>
        <v>0</v>
      </c>
      <c r="P47" s="7"/>
      <c r="Q47" s="10"/>
      <c r="R47" s="9">
        <f t="shared" si="6"/>
        <v>0</v>
      </c>
      <c r="S47" s="8">
        <f t="shared" si="7"/>
        <v>0</v>
      </c>
      <c r="T47" s="7"/>
      <c r="U47" s="10"/>
      <c r="V47" s="9">
        <f t="shared" si="8"/>
        <v>0</v>
      </c>
      <c r="W47" s="8">
        <f t="shared" si="9"/>
        <v>0</v>
      </c>
      <c r="X47" s="7"/>
      <c r="Y47" s="10"/>
      <c r="Z47" s="9">
        <f t="shared" si="10"/>
        <v>0</v>
      </c>
      <c r="AA47" s="8">
        <f t="shared" si="11"/>
        <v>0</v>
      </c>
      <c r="AB47" s="7"/>
      <c r="AC47" s="10"/>
      <c r="AD47" s="9">
        <f t="shared" si="12"/>
        <v>0</v>
      </c>
      <c r="AE47" s="8">
        <f t="shared" si="13"/>
        <v>0</v>
      </c>
      <c r="AF47" s="7"/>
      <c r="AG47" s="10"/>
      <c r="AH47" s="9">
        <f t="shared" si="14"/>
        <v>0</v>
      </c>
      <c r="AI47" s="8">
        <f t="shared" si="15"/>
        <v>0</v>
      </c>
      <c r="AJ47" s="7"/>
      <c r="AK47" s="10"/>
      <c r="AL47" s="9">
        <f t="shared" si="16"/>
        <v>0</v>
      </c>
      <c r="AM47" s="8">
        <f t="shared" si="17"/>
        <v>0</v>
      </c>
      <c r="AN47" s="7"/>
      <c r="AO47" s="10"/>
      <c r="AP47" s="9">
        <f t="shared" si="18"/>
        <v>0</v>
      </c>
      <c r="AQ47" s="8">
        <f t="shared" si="19"/>
        <v>0</v>
      </c>
      <c r="AR47" s="7"/>
      <c r="AS47" s="10"/>
      <c r="AT47" s="9">
        <f t="shared" si="20"/>
        <v>0</v>
      </c>
      <c r="AU47" s="8">
        <f t="shared" si="21"/>
        <v>0</v>
      </c>
      <c r="AV47" s="7"/>
      <c r="AW47" s="10"/>
      <c r="AX47" s="9">
        <f t="shared" si="22"/>
        <v>0</v>
      </c>
      <c r="AY47" s="8">
        <f t="shared" si="23"/>
        <v>0</v>
      </c>
      <c r="AZ47" s="7"/>
      <c r="BA47" s="10"/>
      <c r="BB47" s="9">
        <f t="shared" si="24"/>
        <v>0</v>
      </c>
      <c r="BC47" s="8">
        <f t="shared" si="25"/>
        <v>0</v>
      </c>
      <c r="BD47" s="7"/>
      <c r="BE47" s="10"/>
      <c r="BF47" s="9">
        <f t="shared" si="26"/>
        <v>0</v>
      </c>
      <c r="BG47" s="8">
        <f t="shared" si="27"/>
        <v>0</v>
      </c>
      <c r="BH47" s="7"/>
      <c r="BI47" s="10"/>
      <c r="BJ47" s="9">
        <f t="shared" si="28"/>
        <v>0</v>
      </c>
      <c r="BK47" s="8">
        <f t="shared" si="29"/>
        <v>0</v>
      </c>
      <c r="BL47" s="7"/>
      <c r="BM47" s="10"/>
      <c r="BN47" s="9">
        <f t="shared" si="30"/>
        <v>0</v>
      </c>
      <c r="BO47" s="8">
        <f t="shared" si="31"/>
        <v>0</v>
      </c>
      <c r="BP47" s="7"/>
      <c r="BQ47" s="10"/>
      <c r="BR47" s="9">
        <f t="shared" si="32"/>
        <v>0</v>
      </c>
      <c r="BS47" s="8">
        <f t="shared" si="33"/>
        <v>0</v>
      </c>
      <c r="BT47" s="7"/>
      <c r="BU47" s="10"/>
      <c r="BV47" s="9">
        <f t="shared" si="34"/>
        <v>0</v>
      </c>
      <c r="BW47" s="8">
        <f t="shared" si="35"/>
        <v>0</v>
      </c>
      <c r="BX47" s="7"/>
      <c r="BY47" s="10"/>
      <c r="BZ47" s="9">
        <f t="shared" si="36"/>
        <v>0</v>
      </c>
      <c r="CA47" s="8">
        <f t="shared" si="37"/>
        <v>0</v>
      </c>
      <c r="CB47" s="7"/>
      <c r="CC47" s="10"/>
      <c r="CD47" s="9">
        <f t="shared" si="38"/>
        <v>0</v>
      </c>
      <c r="CE47" s="8">
        <f t="shared" si="39"/>
        <v>0</v>
      </c>
      <c r="CF47" s="7"/>
      <c r="CG47" s="10"/>
      <c r="CH47" s="9">
        <f t="shared" si="40"/>
        <v>0</v>
      </c>
      <c r="CI47" s="8">
        <f t="shared" si="41"/>
        <v>0</v>
      </c>
      <c r="CJ47" s="7"/>
      <c r="CK47" s="10"/>
      <c r="CL47" s="9">
        <f t="shared" si="42"/>
        <v>0</v>
      </c>
      <c r="CM47" s="8">
        <f t="shared" si="43"/>
        <v>0</v>
      </c>
      <c r="CN47" s="7"/>
      <c r="CO47" s="10"/>
      <c r="CP47" s="9">
        <f t="shared" si="44"/>
        <v>0</v>
      </c>
      <c r="CQ47" s="8">
        <f t="shared" si="45"/>
        <v>0</v>
      </c>
      <c r="CR47" s="7"/>
      <c r="CS47" s="10"/>
      <c r="CT47" s="9">
        <f t="shared" si="46"/>
        <v>0</v>
      </c>
      <c r="CU47" s="8">
        <f t="shared" si="47"/>
        <v>0</v>
      </c>
      <c r="CV47" s="7"/>
      <c r="CW47" s="10"/>
      <c r="CX47" s="9">
        <f t="shared" si="48"/>
        <v>0</v>
      </c>
      <c r="CY47" s="8">
        <f t="shared" si="49"/>
        <v>0</v>
      </c>
      <c r="CZ47" s="7"/>
      <c r="DA47" s="10"/>
      <c r="DB47" s="9">
        <f t="shared" si="50"/>
        <v>0</v>
      </c>
      <c r="DC47" s="8">
        <f t="shared" si="51"/>
        <v>0</v>
      </c>
      <c r="DD47" s="7"/>
      <c r="DE47" s="10"/>
      <c r="DF47" s="9">
        <f t="shared" si="52"/>
        <v>0</v>
      </c>
      <c r="DG47" s="8">
        <f t="shared" si="53"/>
        <v>0</v>
      </c>
      <c r="DH47" s="7"/>
      <c r="DI47" s="10"/>
      <c r="DJ47" s="9">
        <f t="shared" si="54"/>
        <v>0</v>
      </c>
      <c r="DK47" s="8">
        <f t="shared" si="55"/>
        <v>0</v>
      </c>
    </row>
    <row r="48" spans="1:115" ht="16" customHeight="1" thickBot="1">
      <c r="A48" s="134" t="s">
        <v>91</v>
      </c>
      <c r="B48" s="133" t="s">
        <v>137</v>
      </c>
      <c r="C48" s="124" t="s">
        <v>137</v>
      </c>
      <c r="D48" s="122"/>
      <c r="E48" s="10" t="s">
        <v>135</v>
      </c>
      <c r="F48" s="9">
        <f t="shared" si="0"/>
        <v>0</v>
      </c>
      <c r="G48" s="8">
        <f t="shared" si="1"/>
        <v>0</v>
      </c>
      <c r="H48" s="7"/>
      <c r="I48" s="10"/>
      <c r="J48" s="9">
        <f t="shared" si="2"/>
        <v>0</v>
      </c>
      <c r="K48" s="8">
        <f t="shared" si="3"/>
        <v>0</v>
      </c>
      <c r="L48" s="10"/>
      <c r="M48" s="10"/>
      <c r="N48" s="9">
        <f t="shared" si="4"/>
        <v>0</v>
      </c>
      <c r="O48" s="8">
        <f t="shared" si="5"/>
        <v>0</v>
      </c>
      <c r="P48" s="7"/>
      <c r="Q48" s="10"/>
      <c r="R48" s="9">
        <f t="shared" si="6"/>
        <v>0</v>
      </c>
      <c r="S48" s="8">
        <f t="shared" si="7"/>
        <v>0</v>
      </c>
      <c r="T48" s="7"/>
      <c r="U48" s="10"/>
      <c r="V48" s="9">
        <f t="shared" si="8"/>
        <v>0</v>
      </c>
      <c r="W48" s="8">
        <f t="shared" si="9"/>
        <v>0</v>
      </c>
      <c r="X48" s="7"/>
      <c r="Y48" s="10"/>
      <c r="Z48" s="9">
        <f t="shared" si="10"/>
        <v>0</v>
      </c>
      <c r="AA48" s="8">
        <f t="shared" si="11"/>
        <v>0</v>
      </c>
      <c r="AB48" s="7"/>
      <c r="AC48" s="10"/>
      <c r="AD48" s="9">
        <f t="shared" si="12"/>
        <v>0</v>
      </c>
      <c r="AE48" s="8">
        <f t="shared" si="13"/>
        <v>0</v>
      </c>
      <c r="AF48" s="7"/>
      <c r="AG48" s="10"/>
      <c r="AH48" s="9">
        <f t="shared" si="14"/>
        <v>0</v>
      </c>
      <c r="AI48" s="8">
        <f t="shared" si="15"/>
        <v>0</v>
      </c>
      <c r="AJ48" s="7"/>
      <c r="AK48" s="10"/>
      <c r="AL48" s="9">
        <f t="shared" si="16"/>
        <v>0</v>
      </c>
      <c r="AM48" s="8">
        <f t="shared" si="17"/>
        <v>0</v>
      </c>
      <c r="AN48" s="7"/>
      <c r="AO48" s="10"/>
      <c r="AP48" s="9">
        <f t="shared" si="18"/>
        <v>0</v>
      </c>
      <c r="AQ48" s="8">
        <f t="shared" si="19"/>
        <v>0</v>
      </c>
      <c r="AR48" s="7"/>
      <c r="AS48" s="10"/>
      <c r="AT48" s="9">
        <f t="shared" si="20"/>
        <v>0</v>
      </c>
      <c r="AU48" s="8">
        <f t="shared" si="21"/>
        <v>0</v>
      </c>
      <c r="AV48" s="7"/>
      <c r="AW48" s="10"/>
      <c r="AX48" s="9">
        <f t="shared" si="22"/>
        <v>0</v>
      </c>
      <c r="AY48" s="8">
        <f t="shared" si="23"/>
        <v>0</v>
      </c>
      <c r="AZ48" s="7"/>
      <c r="BA48" s="10"/>
      <c r="BB48" s="9">
        <f t="shared" si="24"/>
        <v>0</v>
      </c>
      <c r="BC48" s="8">
        <f t="shared" si="25"/>
        <v>0</v>
      </c>
      <c r="BD48" s="7"/>
      <c r="BE48" s="10"/>
      <c r="BF48" s="9">
        <f t="shared" si="26"/>
        <v>0</v>
      </c>
      <c r="BG48" s="8">
        <f t="shared" si="27"/>
        <v>0</v>
      </c>
      <c r="BH48" s="7"/>
      <c r="BI48" s="10"/>
      <c r="BJ48" s="9">
        <f t="shared" si="28"/>
        <v>0</v>
      </c>
      <c r="BK48" s="8">
        <f t="shared" si="29"/>
        <v>0</v>
      </c>
      <c r="BL48" s="7"/>
      <c r="BM48" s="10"/>
      <c r="BN48" s="9">
        <f t="shared" si="30"/>
        <v>0</v>
      </c>
      <c r="BO48" s="8">
        <f t="shared" si="31"/>
        <v>0</v>
      </c>
      <c r="BP48" s="7"/>
      <c r="BQ48" s="10"/>
      <c r="BR48" s="9">
        <f t="shared" si="32"/>
        <v>0</v>
      </c>
      <c r="BS48" s="8">
        <f t="shared" si="33"/>
        <v>0</v>
      </c>
      <c r="BT48" s="7"/>
      <c r="BU48" s="10"/>
      <c r="BV48" s="9">
        <f t="shared" si="34"/>
        <v>0</v>
      </c>
      <c r="BW48" s="8">
        <f t="shared" si="35"/>
        <v>0</v>
      </c>
      <c r="BX48" s="7"/>
      <c r="BY48" s="10"/>
      <c r="BZ48" s="9">
        <f t="shared" si="36"/>
        <v>0</v>
      </c>
      <c r="CA48" s="8">
        <f t="shared" si="37"/>
        <v>0</v>
      </c>
      <c r="CB48" s="7"/>
      <c r="CC48" s="10"/>
      <c r="CD48" s="9">
        <f t="shared" si="38"/>
        <v>0</v>
      </c>
      <c r="CE48" s="8">
        <f t="shared" si="39"/>
        <v>0</v>
      </c>
      <c r="CF48" s="7"/>
      <c r="CG48" s="10"/>
      <c r="CH48" s="9">
        <f t="shared" si="40"/>
        <v>0</v>
      </c>
      <c r="CI48" s="8">
        <f t="shared" si="41"/>
        <v>0</v>
      </c>
      <c r="CJ48" s="7"/>
      <c r="CK48" s="10"/>
      <c r="CL48" s="9">
        <f t="shared" si="42"/>
        <v>0</v>
      </c>
      <c r="CM48" s="8">
        <f t="shared" si="43"/>
        <v>0</v>
      </c>
      <c r="CN48" s="7"/>
      <c r="CO48" s="10"/>
      <c r="CP48" s="9">
        <f t="shared" si="44"/>
        <v>0</v>
      </c>
      <c r="CQ48" s="8">
        <f t="shared" si="45"/>
        <v>0</v>
      </c>
      <c r="CR48" s="7"/>
      <c r="CS48" s="10"/>
      <c r="CT48" s="9">
        <f t="shared" si="46"/>
        <v>0</v>
      </c>
      <c r="CU48" s="8">
        <f t="shared" si="47"/>
        <v>0</v>
      </c>
      <c r="CV48" s="7"/>
      <c r="CW48" s="10" t="s">
        <v>135</v>
      </c>
      <c r="CX48" s="9">
        <f t="shared" si="48"/>
        <v>0</v>
      </c>
      <c r="CY48" s="8">
        <f t="shared" si="49"/>
        <v>0</v>
      </c>
      <c r="CZ48" s="7"/>
      <c r="DA48" s="10" t="s">
        <v>135</v>
      </c>
      <c r="DB48" s="9">
        <f t="shared" si="50"/>
        <v>0</v>
      </c>
      <c r="DC48" s="8">
        <f t="shared" si="51"/>
        <v>0</v>
      </c>
      <c r="DD48" s="7"/>
      <c r="DE48" s="10"/>
      <c r="DF48" s="9">
        <f t="shared" si="52"/>
        <v>0</v>
      </c>
      <c r="DG48" s="8">
        <f t="shared" si="53"/>
        <v>0</v>
      </c>
      <c r="DH48" s="7"/>
      <c r="DI48" s="10"/>
      <c r="DJ48" s="9">
        <f t="shared" si="54"/>
        <v>0</v>
      </c>
      <c r="DK48" s="8">
        <f t="shared" si="55"/>
        <v>0</v>
      </c>
    </row>
    <row r="49" spans="1:115" ht="16" customHeight="1" thickBot="1">
      <c r="A49" s="134" t="s">
        <v>92</v>
      </c>
      <c r="B49" s="133" t="s">
        <v>137</v>
      </c>
      <c r="C49" s="124" t="s">
        <v>137</v>
      </c>
      <c r="D49" s="122"/>
      <c r="E49" s="10"/>
      <c r="F49" s="9">
        <f t="shared" si="0"/>
        <v>0</v>
      </c>
      <c r="G49" s="8">
        <f t="shared" si="1"/>
        <v>0</v>
      </c>
      <c r="H49" s="7"/>
      <c r="I49" s="10"/>
      <c r="J49" s="9">
        <f t="shared" si="2"/>
        <v>0</v>
      </c>
      <c r="K49" s="8">
        <f t="shared" si="3"/>
        <v>0</v>
      </c>
      <c r="L49" s="10"/>
      <c r="M49" s="10"/>
      <c r="N49" s="9">
        <f t="shared" si="4"/>
        <v>0</v>
      </c>
      <c r="O49" s="8">
        <f t="shared" si="5"/>
        <v>0</v>
      </c>
      <c r="P49" s="7"/>
      <c r="Q49" s="10"/>
      <c r="R49" s="9">
        <f t="shared" si="6"/>
        <v>0</v>
      </c>
      <c r="S49" s="8">
        <f t="shared" si="7"/>
        <v>0</v>
      </c>
      <c r="T49" s="7"/>
      <c r="U49" s="10"/>
      <c r="V49" s="9">
        <f t="shared" si="8"/>
        <v>0</v>
      </c>
      <c r="W49" s="8">
        <f t="shared" si="9"/>
        <v>0</v>
      </c>
      <c r="X49" s="7"/>
      <c r="Y49" s="10"/>
      <c r="Z49" s="9">
        <f t="shared" si="10"/>
        <v>0</v>
      </c>
      <c r="AA49" s="8">
        <f t="shared" si="11"/>
        <v>0</v>
      </c>
      <c r="AB49" s="7"/>
      <c r="AC49" s="10"/>
      <c r="AD49" s="9">
        <f t="shared" si="12"/>
        <v>0</v>
      </c>
      <c r="AE49" s="8">
        <f t="shared" si="13"/>
        <v>0</v>
      </c>
      <c r="AF49" s="7"/>
      <c r="AG49" s="10"/>
      <c r="AH49" s="9">
        <f t="shared" si="14"/>
        <v>0</v>
      </c>
      <c r="AI49" s="8">
        <f t="shared" si="15"/>
        <v>0</v>
      </c>
      <c r="AJ49" s="7"/>
      <c r="AK49" s="10"/>
      <c r="AL49" s="9">
        <f t="shared" si="16"/>
        <v>0</v>
      </c>
      <c r="AM49" s="8">
        <f t="shared" si="17"/>
        <v>0</v>
      </c>
      <c r="AN49" s="7"/>
      <c r="AO49" s="10"/>
      <c r="AP49" s="9">
        <f t="shared" si="18"/>
        <v>0</v>
      </c>
      <c r="AQ49" s="8">
        <f t="shared" si="19"/>
        <v>0</v>
      </c>
      <c r="AR49" s="7"/>
      <c r="AS49" s="10"/>
      <c r="AT49" s="9">
        <f t="shared" si="20"/>
        <v>0</v>
      </c>
      <c r="AU49" s="8">
        <f t="shared" si="21"/>
        <v>0</v>
      </c>
      <c r="AV49" s="7"/>
      <c r="AW49" s="10"/>
      <c r="AX49" s="9">
        <f t="shared" si="22"/>
        <v>0</v>
      </c>
      <c r="AY49" s="8">
        <f t="shared" si="23"/>
        <v>0</v>
      </c>
      <c r="AZ49" s="7"/>
      <c r="BA49" s="10"/>
      <c r="BB49" s="9">
        <f t="shared" si="24"/>
        <v>0</v>
      </c>
      <c r="BC49" s="8">
        <f t="shared" si="25"/>
        <v>0</v>
      </c>
      <c r="BD49" s="7"/>
      <c r="BE49" s="10"/>
      <c r="BF49" s="9">
        <f t="shared" si="26"/>
        <v>0</v>
      </c>
      <c r="BG49" s="8">
        <f t="shared" si="27"/>
        <v>0</v>
      </c>
      <c r="BH49" s="7"/>
      <c r="BI49" s="10"/>
      <c r="BJ49" s="9">
        <f t="shared" si="28"/>
        <v>0</v>
      </c>
      <c r="BK49" s="8">
        <f t="shared" si="29"/>
        <v>0</v>
      </c>
      <c r="BL49" s="7"/>
      <c r="BM49" s="10"/>
      <c r="BN49" s="9">
        <f t="shared" si="30"/>
        <v>0</v>
      </c>
      <c r="BO49" s="8">
        <f t="shared" si="31"/>
        <v>0</v>
      </c>
      <c r="BP49" s="7"/>
      <c r="BQ49" s="10"/>
      <c r="BR49" s="9">
        <f t="shared" si="32"/>
        <v>0</v>
      </c>
      <c r="BS49" s="8">
        <f t="shared" si="33"/>
        <v>0</v>
      </c>
      <c r="BT49" s="7"/>
      <c r="BU49" s="10"/>
      <c r="BV49" s="9">
        <f t="shared" si="34"/>
        <v>0</v>
      </c>
      <c r="BW49" s="8">
        <f t="shared" si="35"/>
        <v>0</v>
      </c>
      <c r="BX49" s="7"/>
      <c r="BY49" s="10"/>
      <c r="BZ49" s="9">
        <f t="shared" si="36"/>
        <v>0</v>
      </c>
      <c r="CA49" s="8">
        <f t="shared" si="37"/>
        <v>0</v>
      </c>
      <c r="CB49" s="114"/>
      <c r="CC49" s="10"/>
      <c r="CD49" s="9">
        <f t="shared" si="38"/>
        <v>0</v>
      </c>
      <c r="CE49" s="8">
        <f t="shared" si="39"/>
        <v>0</v>
      </c>
      <c r="CF49" s="7"/>
      <c r="CG49" s="10"/>
      <c r="CH49" s="9">
        <f t="shared" si="40"/>
        <v>0</v>
      </c>
      <c r="CI49" s="8">
        <f t="shared" si="41"/>
        <v>0</v>
      </c>
      <c r="CJ49" s="7"/>
      <c r="CK49" s="10"/>
      <c r="CL49" s="9">
        <f t="shared" si="42"/>
        <v>0</v>
      </c>
      <c r="CM49" s="8">
        <f t="shared" si="43"/>
        <v>0</v>
      </c>
      <c r="CN49" s="7"/>
      <c r="CO49" s="10"/>
      <c r="CP49" s="9">
        <f t="shared" si="44"/>
        <v>0</v>
      </c>
      <c r="CQ49" s="8">
        <f t="shared" si="45"/>
        <v>0</v>
      </c>
      <c r="CR49" s="7"/>
      <c r="CS49" s="10"/>
      <c r="CT49" s="9">
        <f t="shared" si="46"/>
        <v>0</v>
      </c>
      <c r="CU49" s="8">
        <f t="shared" si="47"/>
        <v>0</v>
      </c>
      <c r="CV49" s="7"/>
      <c r="CW49" s="10"/>
      <c r="CX49" s="9">
        <f t="shared" si="48"/>
        <v>0</v>
      </c>
      <c r="CY49" s="8">
        <f t="shared" si="49"/>
        <v>0</v>
      </c>
      <c r="CZ49" s="7"/>
      <c r="DA49" s="10"/>
      <c r="DB49" s="9">
        <f t="shared" si="50"/>
        <v>0</v>
      </c>
      <c r="DC49" s="8">
        <f t="shared" si="51"/>
        <v>0</v>
      </c>
      <c r="DD49" s="7"/>
      <c r="DE49" s="10"/>
      <c r="DF49" s="9">
        <f t="shared" si="52"/>
        <v>0</v>
      </c>
      <c r="DG49" s="8">
        <f t="shared" si="53"/>
        <v>0</v>
      </c>
      <c r="DH49" s="7"/>
      <c r="DI49" s="10"/>
      <c r="DJ49" s="9">
        <f t="shared" si="54"/>
        <v>0</v>
      </c>
      <c r="DK49" s="8">
        <f t="shared" si="55"/>
        <v>0</v>
      </c>
    </row>
    <row r="50" spans="1:115" ht="16" customHeight="1" thickBot="1">
      <c r="A50" s="134" t="s">
        <v>93</v>
      </c>
      <c r="B50" s="133" t="s">
        <v>137</v>
      </c>
      <c r="C50" s="124" t="s">
        <v>137</v>
      </c>
      <c r="D50" s="122"/>
      <c r="E50" s="10"/>
      <c r="F50" s="9">
        <f t="shared" si="0"/>
        <v>0</v>
      </c>
      <c r="G50" s="8">
        <f t="shared" si="1"/>
        <v>0</v>
      </c>
      <c r="H50" s="7"/>
      <c r="I50" s="10"/>
      <c r="J50" s="9">
        <f t="shared" si="2"/>
        <v>0</v>
      </c>
      <c r="K50" s="8">
        <f t="shared" si="3"/>
        <v>0</v>
      </c>
      <c r="L50" s="7"/>
      <c r="M50" s="10"/>
      <c r="N50" s="9">
        <f t="shared" si="4"/>
        <v>0</v>
      </c>
      <c r="O50" s="8">
        <f t="shared" si="5"/>
        <v>0</v>
      </c>
      <c r="P50" s="7"/>
      <c r="Q50" s="10"/>
      <c r="R50" s="9">
        <f t="shared" si="6"/>
        <v>0</v>
      </c>
      <c r="S50" s="8">
        <f t="shared" si="7"/>
        <v>0</v>
      </c>
      <c r="T50" s="92"/>
      <c r="U50" s="10"/>
      <c r="V50" s="9">
        <f t="shared" si="8"/>
        <v>0</v>
      </c>
      <c r="W50" s="8">
        <f t="shared" si="9"/>
        <v>0</v>
      </c>
      <c r="X50" s="7"/>
      <c r="Y50" s="10"/>
      <c r="Z50" s="9">
        <f t="shared" si="10"/>
        <v>0</v>
      </c>
      <c r="AA50" s="8">
        <f t="shared" si="11"/>
        <v>0</v>
      </c>
      <c r="AB50" s="7"/>
      <c r="AC50" s="10"/>
      <c r="AD50" s="9">
        <f t="shared" si="12"/>
        <v>0</v>
      </c>
      <c r="AE50" s="8">
        <f t="shared" si="13"/>
        <v>0</v>
      </c>
      <c r="AF50" s="7"/>
      <c r="AG50" s="10"/>
      <c r="AH50" s="9">
        <f t="shared" si="14"/>
        <v>0</v>
      </c>
      <c r="AI50" s="8">
        <f t="shared" si="15"/>
        <v>0</v>
      </c>
      <c r="AJ50" s="7"/>
      <c r="AK50" s="10"/>
      <c r="AL50" s="9">
        <f t="shared" si="16"/>
        <v>0</v>
      </c>
      <c r="AM50" s="8">
        <f t="shared" si="17"/>
        <v>0</v>
      </c>
      <c r="AN50" s="7"/>
      <c r="AO50" s="10"/>
      <c r="AP50" s="9">
        <f t="shared" si="18"/>
        <v>0</v>
      </c>
      <c r="AQ50" s="8">
        <f t="shared" si="19"/>
        <v>0</v>
      </c>
      <c r="AR50" s="7"/>
      <c r="AS50" s="10"/>
      <c r="AT50" s="9">
        <f t="shared" si="20"/>
        <v>0</v>
      </c>
      <c r="AU50" s="8">
        <f t="shared" si="21"/>
        <v>0</v>
      </c>
      <c r="AV50" s="7"/>
      <c r="AW50" s="10"/>
      <c r="AX50" s="9">
        <f t="shared" si="22"/>
        <v>0</v>
      </c>
      <c r="AY50" s="8">
        <f t="shared" si="23"/>
        <v>0</v>
      </c>
      <c r="AZ50" s="10"/>
      <c r="BA50" s="10"/>
      <c r="BB50" s="9">
        <f t="shared" si="24"/>
        <v>0</v>
      </c>
      <c r="BC50" s="8">
        <f t="shared" si="25"/>
        <v>0</v>
      </c>
      <c r="BD50" s="7"/>
      <c r="BE50" s="10"/>
      <c r="BF50" s="9">
        <f t="shared" si="26"/>
        <v>0</v>
      </c>
      <c r="BG50" s="8">
        <f t="shared" si="27"/>
        <v>0</v>
      </c>
      <c r="BH50" s="7"/>
      <c r="BI50" s="10"/>
      <c r="BJ50" s="9">
        <f t="shared" si="28"/>
        <v>0</v>
      </c>
      <c r="BK50" s="8">
        <f t="shared" si="29"/>
        <v>0</v>
      </c>
      <c r="BL50" s="7"/>
      <c r="BM50" s="10"/>
      <c r="BN50" s="9">
        <f t="shared" si="30"/>
        <v>0</v>
      </c>
      <c r="BO50" s="8">
        <f t="shared" si="31"/>
        <v>0</v>
      </c>
      <c r="BP50" s="7"/>
      <c r="BQ50" s="10"/>
      <c r="BR50" s="9">
        <f t="shared" si="32"/>
        <v>0</v>
      </c>
      <c r="BS50" s="8">
        <f t="shared" si="33"/>
        <v>0</v>
      </c>
      <c r="BT50" s="7"/>
      <c r="BU50" s="10"/>
      <c r="BV50" s="9">
        <f t="shared" si="34"/>
        <v>0</v>
      </c>
      <c r="BW50" s="8">
        <f t="shared" si="35"/>
        <v>0</v>
      </c>
      <c r="BX50" s="7"/>
      <c r="BY50" s="10"/>
      <c r="BZ50" s="9">
        <f t="shared" si="36"/>
        <v>0</v>
      </c>
      <c r="CA50" s="8">
        <f t="shared" si="37"/>
        <v>0</v>
      </c>
      <c r="CB50" s="114"/>
      <c r="CC50" s="10"/>
      <c r="CD50" s="9">
        <f t="shared" si="38"/>
        <v>0</v>
      </c>
      <c r="CE50" s="8">
        <f t="shared" si="39"/>
        <v>0</v>
      </c>
      <c r="CF50" s="7"/>
      <c r="CG50" s="10"/>
      <c r="CH50" s="9">
        <f t="shared" si="40"/>
        <v>0</v>
      </c>
      <c r="CI50" s="8">
        <f t="shared" si="41"/>
        <v>0</v>
      </c>
      <c r="CJ50" s="7"/>
      <c r="CK50" s="10"/>
      <c r="CL50" s="9">
        <f t="shared" si="42"/>
        <v>0</v>
      </c>
      <c r="CM50" s="8">
        <f t="shared" si="43"/>
        <v>0</v>
      </c>
      <c r="CN50" s="7"/>
      <c r="CO50" s="10"/>
      <c r="CP50" s="9">
        <f t="shared" si="44"/>
        <v>0</v>
      </c>
      <c r="CQ50" s="8">
        <f t="shared" si="45"/>
        <v>0</v>
      </c>
      <c r="CR50" s="7"/>
      <c r="CS50" s="10"/>
      <c r="CT50" s="9">
        <f t="shared" si="46"/>
        <v>0</v>
      </c>
      <c r="CU50" s="8">
        <f t="shared" si="47"/>
        <v>0</v>
      </c>
      <c r="CV50" s="7"/>
      <c r="CW50" s="10"/>
      <c r="CX50" s="9">
        <f t="shared" si="48"/>
        <v>0</v>
      </c>
      <c r="CY50" s="8">
        <f t="shared" si="49"/>
        <v>0</v>
      </c>
      <c r="CZ50" s="7"/>
      <c r="DA50" s="10"/>
      <c r="DB50" s="9">
        <f t="shared" si="50"/>
        <v>0</v>
      </c>
      <c r="DC50" s="8">
        <f t="shared" si="51"/>
        <v>0</v>
      </c>
      <c r="DD50" s="7"/>
      <c r="DE50" s="10"/>
      <c r="DF50" s="9">
        <f t="shared" si="52"/>
        <v>0</v>
      </c>
      <c r="DG50" s="8">
        <f t="shared" si="53"/>
        <v>0</v>
      </c>
      <c r="DH50" s="7"/>
      <c r="DI50" s="10"/>
      <c r="DJ50" s="9">
        <f t="shared" si="54"/>
        <v>0</v>
      </c>
      <c r="DK50" s="8">
        <f t="shared" si="55"/>
        <v>0</v>
      </c>
    </row>
    <row r="51" spans="1:115" ht="16" customHeight="1" thickBot="1">
      <c r="A51" s="134" t="s">
        <v>94</v>
      </c>
      <c r="B51" s="133" t="s">
        <v>137</v>
      </c>
      <c r="C51" s="124" t="s">
        <v>137</v>
      </c>
      <c r="D51" s="122"/>
      <c r="E51" s="10"/>
      <c r="F51" s="9">
        <f t="shared" si="0"/>
        <v>0</v>
      </c>
      <c r="G51" s="8">
        <f t="shared" si="1"/>
        <v>0</v>
      </c>
      <c r="H51" s="7"/>
      <c r="I51" s="10"/>
      <c r="J51" s="9">
        <f t="shared" si="2"/>
        <v>0</v>
      </c>
      <c r="K51" s="8">
        <f t="shared" si="3"/>
        <v>0</v>
      </c>
      <c r="L51" s="10"/>
      <c r="M51" s="10"/>
      <c r="N51" s="9">
        <f t="shared" si="4"/>
        <v>0</v>
      </c>
      <c r="O51" s="8">
        <f t="shared" si="5"/>
        <v>0</v>
      </c>
      <c r="P51" s="92"/>
      <c r="Q51" s="10"/>
      <c r="R51" s="9">
        <f t="shared" si="6"/>
        <v>0</v>
      </c>
      <c r="S51" s="8">
        <f t="shared" si="7"/>
        <v>0</v>
      </c>
      <c r="T51" s="92"/>
      <c r="U51" s="10"/>
      <c r="V51" s="9">
        <f t="shared" si="8"/>
        <v>0</v>
      </c>
      <c r="W51" s="8">
        <f t="shared" si="9"/>
        <v>0</v>
      </c>
      <c r="X51" s="7"/>
      <c r="Y51" s="10"/>
      <c r="Z51" s="9">
        <f t="shared" si="10"/>
        <v>0</v>
      </c>
      <c r="AA51" s="8">
        <f t="shared" si="11"/>
        <v>0</v>
      </c>
      <c r="AB51" s="7"/>
      <c r="AC51" s="10"/>
      <c r="AD51" s="9">
        <f t="shared" si="12"/>
        <v>0</v>
      </c>
      <c r="AE51" s="8">
        <f t="shared" si="13"/>
        <v>0</v>
      </c>
      <c r="AF51" s="7"/>
      <c r="AG51" s="10"/>
      <c r="AH51" s="9">
        <f t="shared" si="14"/>
        <v>0</v>
      </c>
      <c r="AI51" s="8">
        <f t="shared" si="15"/>
        <v>0</v>
      </c>
      <c r="AJ51" s="7"/>
      <c r="AK51" s="10"/>
      <c r="AL51" s="9">
        <f t="shared" si="16"/>
        <v>0</v>
      </c>
      <c r="AM51" s="8">
        <f t="shared" si="17"/>
        <v>0</v>
      </c>
      <c r="AN51" s="7"/>
      <c r="AO51" s="10"/>
      <c r="AP51" s="9">
        <f t="shared" si="18"/>
        <v>0</v>
      </c>
      <c r="AQ51" s="8">
        <f t="shared" si="19"/>
        <v>0</v>
      </c>
      <c r="AR51" s="7"/>
      <c r="AS51" s="10"/>
      <c r="AT51" s="9">
        <f t="shared" si="20"/>
        <v>0</v>
      </c>
      <c r="AU51" s="8">
        <f t="shared" si="21"/>
        <v>0</v>
      </c>
      <c r="AV51" s="7"/>
      <c r="AW51" s="10"/>
      <c r="AX51" s="9">
        <f t="shared" si="22"/>
        <v>0</v>
      </c>
      <c r="AY51" s="8">
        <f t="shared" si="23"/>
        <v>0</v>
      </c>
      <c r="AZ51" s="7"/>
      <c r="BA51" s="10"/>
      <c r="BB51" s="9">
        <f t="shared" si="24"/>
        <v>0</v>
      </c>
      <c r="BC51" s="8">
        <f t="shared" si="25"/>
        <v>0</v>
      </c>
      <c r="BD51" s="7"/>
      <c r="BE51" s="10"/>
      <c r="BF51" s="9">
        <f t="shared" si="26"/>
        <v>0</v>
      </c>
      <c r="BG51" s="8">
        <f t="shared" si="27"/>
        <v>0</v>
      </c>
      <c r="BH51" s="7"/>
      <c r="BI51" s="10"/>
      <c r="BJ51" s="9">
        <f t="shared" si="28"/>
        <v>0</v>
      </c>
      <c r="BK51" s="8">
        <f t="shared" si="29"/>
        <v>0</v>
      </c>
      <c r="BL51" s="7"/>
      <c r="BM51" s="10"/>
      <c r="BN51" s="9">
        <f t="shared" si="30"/>
        <v>0</v>
      </c>
      <c r="BO51" s="8">
        <f t="shared" si="31"/>
        <v>0</v>
      </c>
      <c r="BP51" s="7"/>
      <c r="BQ51" s="10"/>
      <c r="BR51" s="9">
        <f t="shared" si="32"/>
        <v>0</v>
      </c>
      <c r="BS51" s="8">
        <f t="shared" si="33"/>
        <v>0</v>
      </c>
      <c r="BT51" s="7"/>
      <c r="BU51" s="10"/>
      <c r="BV51" s="9">
        <f t="shared" si="34"/>
        <v>0</v>
      </c>
      <c r="BW51" s="8">
        <f t="shared" si="35"/>
        <v>0</v>
      </c>
      <c r="BX51" s="7"/>
      <c r="BY51" s="10"/>
      <c r="BZ51" s="9">
        <f t="shared" si="36"/>
        <v>0</v>
      </c>
      <c r="CA51" s="8">
        <f t="shared" si="37"/>
        <v>0</v>
      </c>
      <c r="CB51" s="7"/>
      <c r="CC51" s="10"/>
      <c r="CD51" s="9">
        <f t="shared" si="38"/>
        <v>0</v>
      </c>
      <c r="CE51" s="8">
        <f t="shared" si="39"/>
        <v>0</v>
      </c>
      <c r="CF51" s="7"/>
      <c r="CG51" s="10"/>
      <c r="CH51" s="9">
        <f t="shared" si="40"/>
        <v>0</v>
      </c>
      <c r="CI51" s="8">
        <f t="shared" si="41"/>
        <v>0</v>
      </c>
      <c r="CJ51" s="7"/>
      <c r="CK51" s="10"/>
      <c r="CL51" s="9">
        <f t="shared" si="42"/>
        <v>0</v>
      </c>
      <c r="CM51" s="8">
        <f t="shared" si="43"/>
        <v>0</v>
      </c>
      <c r="CN51" s="7"/>
      <c r="CO51" s="10"/>
      <c r="CP51" s="9">
        <f t="shared" si="44"/>
        <v>0</v>
      </c>
      <c r="CQ51" s="8">
        <f t="shared" si="45"/>
        <v>0</v>
      </c>
      <c r="CR51" s="7"/>
      <c r="CS51" s="10"/>
      <c r="CT51" s="9">
        <f t="shared" si="46"/>
        <v>0</v>
      </c>
      <c r="CU51" s="8">
        <f t="shared" si="47"/>
        <v>0</v>
      </c>
      <c r="CV51" s="7"/>
      <c r="CW51" s="10"/>
      <c r="CX51" s="9">
        <f t="shared" si="48"/>
        <v>0</v>
      </c>
      <c r="CY51" s="8">
        <f t="shared" si="49"/>
        <v>0</v>
      </c>
      <c r="CZ51" s="7"/>
      <c r="DA51" s="10"/>
      <c r="DB51" s="9">
        <f t="shared" si="50"/>
        <v>0</v>
      </c>
      <c r="DC51" s="8">
        <f t="shared" si="51"/>
        <v>0</v>
      </c>
      <c r="DD51" s="7"/>
      <c r="DE51" s="10"/>
      <c r="DF51" s="9">
        <f t="shared" si="52"/>
        <v>0</v>
      </c>
      <c r="DG51" s="8">
        <f t="shared" si="53"/>
        <v>0</v>
      </c>
      <c r="DH51" s="7"/>
      <c r="DI51" s="10"/>
      <c r="DJ51" s="9">
        <f t="shared" si="54"/>
        <v>0</v>
      </c>
      <c r="DK51" s="8">
        <f t="shared" si="55"/>
        <v>0</v>
      </c>
    </row>
    <row r="52" spans="1:115" s="6" customFormat="1" ht="14" customHeight="1" thickBot="1">
      <c r="A52" s="93" t="s">
        <v>138</v>
      </c>
      <c r="B52" s="78"/>
      <c r="C52" s="123"/>
      <c r="D52" s="11">
        <f>SUM(F4:F51)</f>
        <v>0</v>
      </c>
      <c r="E52" s="12">
        <f>SUM(G4:G51)</f>
        <v>0</v>
      </c>
      <c r="F52" s="13"/>
      <c r="G52" s="14"/>
      <c r="H52" s="11">
        <f>SUM(J4:J51)</f>
        <v>0</v>
      </c>
      <c r="I52" s="12">
        <f>SUM(K4:K51)</f>
        <v>0</v>
      </c>
      <c r="J52" s="13"/>
      <c r="K52" s="14"/>
      <c r="L52" s="11">
        <f>SUM(N4:N51)</f>
        <v>0</v>
      </c>
      <c r="M52" s="12">
        <f>SUM(O4:O51)</f>
        <v>0</v>
      </c>
      <c r="N52" s="13"/>
      <c r="O52" s="14"/>
      <c r="P52" s="11">
        <f>SUM(R4:R51)</f>
        <v>0</v>
      </c>
      <c r="Q52" s="12">
        <f>SUM(S4:S51)</f>
        <v>0</v>
      </c>
      <c r="R52" s="13"/>
      <c r="S52" s="14"/>
      <c r="T52" s="11">
        <f>SUM(V4:V51)</f>
        <v>0</v>
      </c>
      <c r="U52" s="12">
        <f>SUM(W4:W51)</f>
        <v>0</v>
      </c>
      <c r="V52" s="13"/>
      <c r="W52" s="14"/>
      <c r="X52" s="11">
        <f>SUM(Z4:Z51)</f>
        <v>0</v>
      </c>
      <c r="Y52" s="12">
        <f>SUM(AA4:AA51)</f>
        <v>0</v>
      </c>
      <c r="Z52" s="13"/>
      <c r="AA52" s="14"/>
      <c r="AB52" s="11">
        <f>SUM(AD4:AD51)</f>
        <v>0</v>
      </c>
      <c r="AC52" s="12">
        <f>SUM(AE4:AE51)</f>
        <v>0</v>
      </c>
      <c r="AD52" s="13"/>
      <c r="AE52" s="14"/>
      <c r="AF52" s="11">
        <f>SUM(AH4:AH51)</f>
        <v>0</v>
      </c>
      <c r="AG52" s="12">
        <f>SUM(AI4:AI51)</f>
        <v>0</v>
      </c>
      <c r="AH52" s="13"/>
      <c r="AI52" s="14"/>
      <c r="AJ52" s="11">
        <f>SUM(AL4:AL51)</f>
        <v>0</v>
      </c>
      <c r="AK52" s="12">
        <f>SUM(AM4:AM51)</f>
        <v>0</v>
      </c>
      <c r="AL52" s="13"/>
      <c r="AM52" s="14"/>
      <c r="AN52" s="11">
        <f>SUM(AP4:AP51)</f>
        <v>0</v>
      </c>
      <c r="AO52" s="12">
        <f>SUM(AQ4:AQ51)</f>
        <v>0</v>
      </c>
      <c r="AP52" s="13"/>
      <c r="AQ52" s="14"/>
      <c r="AR52" s="11">
        <f>SUM(AT4:AT51)</f>
        <v>0</v>
      </c>
      <c r="AS52" s="12">
        <f>SUM(AU4:AU51)</f>
        <v>0</v>
      </c>
      <c r="AT52" s="13"/>
      <c r="AU52" s="14"/>
      <c r="AV52" s="11">
        <f>SUM(AX4:AX51)</f>
        <v>0</v>
      </c>
      <c r="AW52" s="12">
        <f>SUM(AY4:AY51)</f>
        <v>0</v>
      </c>
      <c r="AX52" s="13"/>
      <c r="AY52" s="14"/>
      <c r="AZ52" s="11">
        <f>SUM(BB4:BB51)</f>
        <v>0</v>
      </c>
      <c r="BA52" s="12">
        <f>SUM(BC4:BC51)</f>
        <v>0</v>
      </c>
      <c r="BB52" s="13"/>
      <c r="BC52" s="14"/>
      <c r="BD52" s="11">
        <f>SUM(BF4:BF51)</f>
        <v>0</v>
      </c>
      <c r="BE52" s="12">
        <f>SUM(BG4:BG51)</f>
        <v>0</v>
      </c>
      <c r="BF52" s="13"/>
      <c r="BG52" s="14"/>
      <c r="BH52" s="11">
        <f>SUM(BJ4:BJ51)</f>
        <v>0</v>
      </c>
      <c r="BI52" s="12">
        <f>SUM(BK4:BK51)</f>
        <v>0</v>
      </c>
      <c r="BJ52" s="13"/>
      <c r="BK52" s="14"/>
      <c r="BL52" s="11">
        <f>SUM(BN4:BN51)</f>
        <v>0</v>
      </c>
      <c r="BM52" s="12">
        <f>SUM(BO4:BO51)</f>
        <v>0</v>
      </c>
      <c r="BN52" s="13"/>
      <c r="BO52" s="14"/>
      <c r="BP52" s="11">
        <f>SUM(BR4:BR51)</f>
        <v>0</v>
      </c>
      <c r="BQ52" s="12">
        <f>SUM(BS4:BS51)</f>
        <v>0</v>
      </c>
      <c r="BR52" s="13"/>
      <c r="BS52" s="14"/>
      <c r="BT52" s="11">
        <f>SUM(BV4:BV51)</f>
        <v>0</v>
      </c>
      <c r="BU52" s="12">
        <f>SUM(BW4:BW51)</f>
        <v>0</v>
      </c>
      <c r="BV52" s="13"/>
      <c r="BW52" s="14"/>
      <c r="BX52" s="11">
        <f>SUM(BZ4:BZ51)</f>
        <v>0</v>
      </c>
      <c r="BY52" s="12">
        <f>SUM(CA4:CA51)</f>
        <v>0</v>
      </c>
      <c r="BZ52" s="13"/>
      <c r="CA52" s="14"/>
      <c r="CB52" s="11">
        <f>SUM(CD4:CD51)</f>
        <v>0</v>
      </c>
      <c r="CC52" s="12">
        <f>SUM(CE4:CE51)</f>
        <v>0</v>
      </c>
      <c r="CD52" s="13"/>
      <c r="CE52" s="14"/>
      <c r="CF52" s="11">
        <f>SUM(CH4:CH51)</f>
        <v>0</v>
      </c>
      <c r="CG52" s="12">
        <f>SUM(CI4:CI51)</f>
        <v>0</v>
      </c>
      <c r="CH52" s="13"/>
      <c r="CI52" s="14"/>
      <c r="CJ52" s="11">
        <f>SUM(CL4:CL51)</f>
        <v>0</v>
      </c>
      <c r="CK52" s="12">
        <f>SUM(CM4:CM51)</f>
        <v>0</v>
      </c>
      <c r="CL52" s="13"/>
      <c r="CM52" s="14"/>
      <c r="CN52" s="11">
        <f>SUM(CP4:CP51)</f>
        <v>0</v>
      </c>
      <c r="CO52" s="12">
        <f>SUM(CQ4:CQ51)</f>
        <v>0</v>
      </c>
      <c r="CP52" s="13"/>
      <c r="CQ52" s="14"/>
      <c r="CR52" s="11">
        <f>SUM(CT4:CT51)</f>
        <v>0</v>
      </c>
      <c r="CS52" s="12">
        <f>SUM(CU4:CU51)</f>
        <v>0</v>
      </c>
      <c r="CT52" s="13"/>
      <c r="CU52" s="14"/>
      <c r="CV52" s="11">
        <f>SUM(CX4:CX51)</f>
        <v>0</v>
      </c>
      <c r="CW52" s="12">
        <f>SUM(CY4:CY51)</f>
        <v>0</v>
      </c>
      <c r="CX52" s="13"/>
      <c r="CY52" s="14"/>
      <c r="CZ52" s="11">
        <f>SUM(DB4:DB51)</f>
        <v>0</v>
      </c>
      <c r="DA52" s="12">
        <f>SUM(DC4:DC51)</f>
        <v>0</v>
      </c>
      <c r="DB52" s="13"/>
      <c r="DC52" s="14"/>
      <c r="DD52" s="11">
        <f>SUM(DF4:DF51)</f>
        <v>0</v>
      </c>
      <c r="DE52" s="12">
        <f>SUM(DG4:DG51)</f>
        <v>0</v>
      </c>
      <c r="DF52" s="13"/>
      <c r="DG52" s="14"/>
      <c r="DH52" s="11">
        <f>SUM(DJ4:DJ51)</f>
        <v>0</v>
      </c>
      <c r="DI52" s="12">
        <f>SUM(DK4:DK51)</f>
        <v>0</v>
      </c>
      <c r="DJ52" s="13"/>
      <c r="DK52" s="14"/>
    </row>
  </sheetData>
  <mergeCells count="60">
    <mergeCell ref="DH2:DK2"/>
    <mergeCell ref="DJ3:DK3"/>
    <mergeCell ref="DD2:DG2"/>
    <mergeCell ref="BV3:BW3"/>
    <mergeCell ref="H2:K2"/>
    <mergeCell ref="DF3:DG3"/>
    <mergeCell ref="CD3:CE3"/>
    <mergeCell ref="T2:W2"/>
    <mergeCell ref="AB2:AE2"/>
    <mergeCell ref="AF2:AI2"/>
    <mergeCell ref="BT2:BW2"/>
    <mergeCell ref="V3:W3"/>
    <mergeCell ref="AN2:AQ2"/>
    <mergeCell ref="DB3:DC3"/>
    <mergeCell ref="R3:S3"/>
    <mergeCell ref="CT3:CU3"/>
    <mergeCell ref="CZ2:DC2"/>
    <mergeCell ref="BJ3:BK3"/>
    <mergeCell ref="A1:A3"/>
    <mergeCell ref="CF2:CI2"/>
    <mergeCell ref="CN2:CQ2"/>
    <mergeCell ref="AL3:AM3"/>
    <mergeCell ref="CP3:CQ3"/>
    <mergeCell ref="X2:AA2"/>
    <mergeCell ref="B1:B2"/>
    <mergeCell ref="AJ2:AM2"/>
    <mergeCell ref="CB2:CE2"/>
    <mergeCell ref="Z3:AA3"/>
    <mergeCell ref="D1:BW1"/>
    <mergeCell ref="CL3:CM3"/>
    <mergeCell ref="C1:C2"/>
    <mergeCell ref="D2:G2"/>
    <mergeCell ref="L2:O2"/>
    <mergeCell ref="AD3:AE3"/>
    <mergeCell ref="BX2:CA2"/>
    <mergeCell ref="F3:G3"/>
    <mergeCell ref="N3:O3"/>
    <mergeCell ref="AV2:AY2"/>
    <mergeCell ref="J3:K3"/>
    <mergeCell ref="AH3:AI3"/>
    <mergeCell ref="AX3:AY3"/>
    <mergeCell ref="P2:S2"/>
    <mergeCell ref="BD2:BG2"/>
    <mergeCell ref="BP2:BS2"/>
    <mergeCell ref="BH2:BK2"/>
    <mergeCell ref="AR2:AU2"/>
    <mergeCell ref="AT3:AU3"/>
    <mergeCell ref="BF3:BG3"/>
    <mergeCell ref="BN3:BO3"/>
    <mergeCell ref="AP3:AQ3"/>
    <mergeCell ref="BB3:BC3"/>
    <mergeCell ref="CX3:CY3"/>
    <mergeCell ref="AZ2:BC2"/>
    <mergeCell ref="BL2:BO2"/>
    <mergeCell ref="CV2:CY2"/>
    <mergeCell ref="BR3:BS3"/>
    <mergeCell ref="BZ3:CA3"/>
    <mergeCell ref="CR2:CU2"/>
    <mergeCell ref="CJ2:CM2"/>
    <mergeCell ref="CH3:CI3"/>
  </mergeCells>
  <conditionalFormatting sqref="D4:O51">
    <cfRule type="cellIs" dxfId="586" priority="19" stopIfTrue="1" operator="equal">
      <formula>"v"</formula>
    </cfRule>
    <cfRule type="cellIs" dxfId="585" priority="20" stopIfTrue="1" operator="equal">
      <formula>"X"</formula>
    </cfRule>
  </conditionalFormatting>
  <conditionalFormatting sqref="P11:P12">
    <cfRule type="cellIs" dxfId="584" priority="179" stopIfTrue="1" operator="equal">
      <formula>"v"</formula>
    </cfRule>
    <cfRule type="cellIs" dxfId="583" priority="180" stopIfTrue="1" operator="equal">
      <formula>"X"</formula>
    </cfRule>
  </conditionalFormatting>
  <conditionalFormatting sqref="P40:P50">
    <cfRule type="cellIs" dxfId="582" priority="165" stopIfTrue="1" operator="equal">
      <formula>"v"</formula>
    </cfRule>
    <cfRule type="cellIs" dxfId="581" priority="166" stopIfTrue="1" operator="equal">
      <formula>"X"</formula>
    </cfRule>
  </conditionalFormatting>
  <conditionalFormatting sqref="P4:Q9">
    <cfRule type="cellIs" dxfId="580" priority="183" stopIfTrue="1" operator="equal">
      <formula>"v"</formula>
    </cfRule>
    <cfRule type="cellIs" dxfId="579" priority="184" stopIfTrue="1" operator="equal">
      <formula>"X"</formula>
    </cfRule>
  </conditionalFormatting>
  <conditionalFormatting sqref="P13:Q39">
    <cfRule type="cellIs" dxfId="578" priority="169" stopIfTrue="1" operator="equal">
      <formula>"v"</formula>
    </cfRule>
    <cfRule type="cellIs" dxfId="577" priority="170" stopIfTrue="1" operator="equal">
      <formula>"X"</formula>
    </cfRule>
  </conditionalFormatting>
  <conditionalFormatting sqref="R4:S51">
    <cfRule type="cellIs" dxfId="576" priority="915" stopIfTrue="1" operator="equal">
      <formula>"v"</formula>
    </cfRule>
    <cfRule type="cellIs" dxfId="575" priority="916" stopIfTrue="1" operator="equal">
      <formula>"X"</formula>
    </cfRule>
  </conditionalFormatting>
  <conditionalFormatting sqref="T4:T5">
    <cfRule type="cellIs" dxfId="574" priority="253" stopIfTrue="1" operator="equal">
      <formula>"v"</formula>
    </cfRule>
    <cfRule type="cellIs" dxfId="573" priority="254" stopIfTrue="1" operator="equal">
      <formula>"X"</formula>
    </cfRule>
  </conditionalFormatting>
  <conditionalFormatting sqref="T7:T9">
    <cfRule type="cellIs" dxfId="572" priority="249" stopIfTrue="1" operator="equal">
      <formula>"v"</formula>
    </cfRule>
    <cfRule type="cellIs" dxfId="571" priority="250" stopIfTrue="1" operator="equal">
      <formula>"X"</formula>
    </cfRule>
  </conditionalFormatting>
  <conditionalFormatting sqref="T11:T49">
    <cfRule type="cellIs" dxfId="570" priority="227" stopIfTrue="1" operator="equal">
      <formula>"v"</formula>
    </cfRule>
    <cfRule type="cellIs" dxfId="569" priority="228" stopIfTrue="1" operator="equal">
      <formula>"X"</formula>
    </cfRule>
  </conditionalFormatting>
  <conditionalFormatting sqref="U4:BK51">
    <cfRule type="cellIs" dxfId="568" priority="257" stopIfTrue="1" operator="equal">
      <formula>"v"</formula>
    </cfRule>
    <cfRule type="cellIs" dxfId="567" priority="258" stopIfTrue="1" operator="equal">
      <formula>"X"</formula>
    </cfRule>
  </conditionalFormatting>
  <conditionalFormatting sqref="BL6:BL9">
    <cfRule type="cellIs" dxfId="566" priority="566" stopIfTrue="1" operator="equal">
      <formula>"X"</formula>
    </cfRule>
    <cfRule type="cellIs" dxfId="565" priority="565" stopIfTrue="1" operator="equal">
      <formula>"v"</formula>
    </cfRule>
  </conditionalFormatting>
  <conditionalFormatting sqref="BL7">
    <cfRule type="cellIs" dxfId="564" priority="837" stopIfTrue="1" operator="equal">
      <formula>"v"</formula>
    </cfRule>
    <cfRule type="cellIs" dxfId="563" priority="838" stopIfTrue="1" operator="equal">
      <formula>"X"</formula>
    </cfRule>
  </conditionalFormatting>
  <conditionalFormatting sqref="BL4:BM5">
    <cfRule type="cellIs" dxfId="562" priority="571" stopIfTrue="1" operator="equal">
      <formula>"v"</formula>
    </cfRule>
    <cfRule type="cellIs" dxfId="561" priority="572" stopIfTrue="1" operator="equal">
      <formula>"X"</formula>
    </cfRule>
  </conditionalFormatting>
  <conditionalFormatting sqref="BL11:BM51">
    <cfRule type="cellIs" dxfId="560" priority="541" stopIfTrue="1" operator="equal">
      <formula>"v"</formula>
    </cfRule>
    <cfRule type="cellIs" dxfId="559" priority="542" stopIfTrue="1" operator="equal">
      <formula>"X"</formula>
    </cfRule>
  </conditionalFormatting>
  <conditionalFormatting sqref="BM6:BM10 Q10:Q12 Q40:Q51">
    <cfRule type="cellIs" dxfId="558" priority="1024" stopIfTrue="1" operator="equal">
      <formula>"X"</formula>
    </cfRule>
    <cfRule type="cellIs" dxfId="557" priority="1023" stopIfTrue="1" operator="equal">
      <formula>"v"</formula>
    </cfRule>
  </conditionalFormatting>
  <conditionalFormatting sqref="BN4:CI51">
    <cfRule type="cellIs" dxfId="556" priority="52" stopIfTrue="1" operator="equal">
      <formula>"X"</formula>
    </cfRule>
    <cfRule type="cellIs" dxfId="555" priority="51" stopIfTrue="1" operator="equal">
      <formula>"v"</formula>
    </cfRule>
  </conditionalFormatting>
  <conditionalFormatting sqref="CJ4:CJ9">
    <cfRule type="cellIs" dxfId="554" priority="419" stopIfTrue="1" operator="equal">
      <formula>"v"</formula>
    </cfRule>
    <cfRule type="cellIs" dxfId="553" priority="420" stopIfTrue="1" operator="equal">
      <formula>"X"</formula>
    </cfRule>
  </conditionalFormatting>
  <conditionalFormatting sqref="CJ6:CK7 CK4:CK5 CK8:CK9">
    <cfRule type="cellIs" dxfId="552" priority="985" stopIfTrue="1" operator="equal">
      <formula>"v"</formula>
    </cfRule>
  </conditionalFormatting>
  <conditionalFormatting sqref="CJ10:CK51">
    <cfRule type="cellIs" dxfId="551" priority="401" stopIfTrue="1" operator="equal">
      <formula>"v"</formula>
    </cfRule>
    <cfRule type="cellIs" dxfId="550" priority="402" stopIfTrue="1" operator="equal">
      <formula>"X"</formula>
    </cfRule>
  </conditionalFormatting>
  <conditionalFormatting sqref="CK4:CK5 CJ6:CK7 CK8:CK9">
    <cfRule type="cellIs" dxfId="549" priority="986" stopIfTrue="1" operator="equal">
      <formula>"X"</formula>
    </cfRule>
  </conditionalFormatting>
  <conditionalFormatting sqref="CL4:CU51">
    <cfRule type="cellIs" dxfId="548" priority="84" stopIfTrue="1" operator="equal">
      <formula>"X"</formula>
    </cfRule>
    <cfRule type="cellIs" dxfId="547" priority="83" stopIfTrue="1" operator="equal">
      <formula>"v"</formula>
    </cfRule>
  </conditionalFormatting>
  <conditionalFormatting sqref="CV16:CV17 CV17:CW51">
    <cfRule type="cellIs" dxfId="546" priority="817" stopIfTrue="1" operator="equal">
      <formula>"v"</formula>
    </cfRule>
    <cfRule type="cellIs" dxfId="545" priority="818" stopIfTrue="1" operator="equal">
      <formula>"X"</formula>
    </cfRule>
  </conditionalFormatting>
  <conditionalFormatting sqref="CV4:CW15">
    <cfRule type="cellIs" dxfId="544" priority="815" stopIfTrue="1" operator="equal">
      <formula>"v"</formula>
    </cfRule>
    <cfRule type="cellIs" dxfId="543" priority="816" stopIfTrue="1" operator="equal">
      <formula>"X"</formula>
    </cfRule>
  </conditionalFormatting>
  <conditionalFormatting sqref="CW16">
    <cfRule type="cellIs" dxfId="542" priority="782" stopIfTrue="1" operator="equal">
      <formula>"X"</formula>
    </cfRule>
    <cfRule type="cellIs" dxfId="541" priority="781" stopIfTrue="1" operator="equal">
      <formula>"v"</formula>
    </cfRule>
  </conditionalFormatting>
  <conditionalFormatting sqref="CX4:DG51">
    <cfRule type="cellIs" dxfId="540" priority="4" stopIfTrue="1" operator="equal">
      <formula>"X"</formula>
    </cfRule>
    <cfRule type="cellIs" dxfId="539" priority="3" stopIfTrue="1" operator="equal">
      <formula>"v"</formula>
    </cfRule>
  </conditionalFormatting>
  <conditionalFormatting sqref="DH4:DK51">
    <cfRule type="cellIs" dxfId="538" priority="1" stopIfTrue="1" operator="equal">
      <formula>"v"</formula>
    </cfRule>
    <cfRule type="cellIs" dxfId="537" priority="2" stopIfTrue="1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DP74"/>
  <sheetViews>
    <sheetView zoomScaleNormal="100" workbookViewId="0">
      <pane xSplit="8" ySplit="2" topLeftCell="CZ3" activePane="bottomRight" state="frozen"/>
      <selection pane="topRight" activeCell="G1" sqref="G1"/>
      <selection pane="bottomLeft" activeCell="A3" sqref="A3"/>
      <selection pane="bottomRight" activeCell="DR11" sqref="DR11"/>
    </sheetView>
  </sheetViews>
  <sheetFormatPr baseColWidth="10" defaultColWidth="11" defaultRowHeight="12"/>
  <cols>
    <col min="1" max="1" width="9.1640625" style="28" customWidth="1"/>
    <col min="2" max="2" width="6.6640625" style="28" bestFit="1" customWidth="1"/>
    <col min="3" max="3" width="25.5" style="28" bestFit="1" customWidth="1"/>
    <col min="4" max="4" width="10.83203125" style="28" bestFit="1" customWidth="1"/>
    <col min="5" max="5" width="5" style="28" bestFit="1" customWidth="1"/>
    <col min="6" max="7" width="3.5" style="28" customWidth="1"/>
    <col min="8" max="8" width="5.5" style="28" bestFit="1" customWidth="1"/>
    <col min="9" max="11" width="3.5" style="28" customWidth="1"/>
    <col min="12" max="12" width="5.1640625" style="28" customWidth="1"/>
    <col min="13" max="15" width="3.5" style="28" customWidth="1"/>
    <col min="16" max="16" width="4.6640625" style="28" customWidth="1"/>
    <col min="17" max="19" width="3.5" style="28" customWidth="1"/>
    <col min="20" max="20" width="4.6640625" style="28" customWidth="1"/>
    <col min="21" max="23" width="3.5" style="28" customWidth="1"/>
    <col min="24" max="24" width="4.5" style="28" customWidth="1"/>
    <col min="25" max="27" width="3.5" style="28" customWidth="1"/>
    <col min="28" max="28" width="4.83203125" style="28" customWidth="1"/>
    <col min="29" max="31" width="3.5" style="28" customWidth="1"/>
    <col min="32" max="32" width="4.6640625" style="28" customWidth="1"/>
    <col min="33" max="35" width="3.5" style="28" customWidth="1"/>
    <col min="36" max="36" width="5" style="28" customWidth="1"/>
    <col min="37" max="39" width="3.5" style="28" customWidth="1"/>
    <col min="40" max="40" width="4.1640625" style="28" customWidth="1"/>
    <col min="41" max="43" width="3.5" style="28" customWidth="1"/>
    <col min="44" max="44" width="3.33203125" style="28" customWidth="1"/>
    <col min="45" max="47" width="3.5" style="28" customWidth="1"/>
    <col min="48" max="48" width="3.33203125" style="28" customWidth="1"/>
    <col min="49" max="51" width="3.5" style="28" customWidth="1"/>
    <col min="52" max="52" width="3.33203125" style="28" customWidth="1"/>
    <col min="53" max="55" width="3.5" style="28" customWidth="1"/>
    <col min="56" max="56" width="3.33203125" style="28" customWidth="1"/>
    <col min="57" max="59" width="3.5" style="28" customWidth="1"/>
    <col min="60" max="60" width="3.33203125" style="28" customWidth="1"/>
    <col min="61" max="63" width="3.5" style="28" customWidth="1"/>
    <col min="64" max="64" width="3.33203125" style="28" customWidth="1"/>
    <col min="65" max="67" width="3.5" style="28" customWidth="1"/>
    <col min="68" max="68" width="3.33203125" style="28" customWidth="1"/>
    <col min="69" max="71" width="3.5" style="28" customWidth="1"/>
    <col min="72" max="72" width="3.33203125" style="28" customWidth="1"/>
    <col min="73" max="75" width="3.5" style="28" customWidth="1"/>
    <col min="76" max="76" width="3.33203125" style="28" customWidth="1"/>
    <col min="77" max="79" width="3.5" style="28" customWidth="1"/>
    <col min="80" max="80" width="3.33203125" style="28" customWidth="1"/>
    <col min="81" max="83" width="3.5" style="28" customWidth="1"/>
    <col min="84" max="84" width="3.33203125" style="28" customWidth="1"/>
    <col min="85" max="87" width="3.5" style="28" customWidth="1"/>
    <col min="88" max="88" width="3.33203125" style="28" customWidth="1"/>
    <col min="89" max="91" width="3.5" style="28" customWidth="1"/>
    <col min="92" max="92" width="6.5" style="28" customWidth="1"/>
    <col min="93" max="95" width="3.5" style="28" customWidth="1"/>
    <col min="96" max="96" width="3.33203125" style="28" customWidth="1"/>
    <col min="97" max="99" width="3.5" style="28" customWidth="1"/>
    <col min="100" max="100" width="3.33203125" style="28" customWidth="1"/>
    <col min="101" max="103" width="3.5" style="28" customWidth="1"/>
    <col min="104" max="104" width="3.33203125" style="28" customWidth="1"/>
    <col min="105" max="107" width="3.5" style="28" customWidth="1"/>
    <col min="108" max="108" width="3.33203125" style="28" customWidth="1"/>
    <col min="109" max="111" width="3.5" style="28" customWidth="1"/>
    <col min="112" max="112" width="3.33203125" style="28" customWidth="1"/>
    <col min="113" max="115" width="3.5" style="28" customWidth="1"/>
    <col min="116" max="116" width="3.33203125" style="28" customWidth="1"/>
    <col min="117" max="119" width="3.5" style="28" customWidth="1"/>
    <col min="120" max="120" width="3.33203125" style="28" customWidth="1"/>
    <col min="121" max="16384" width="11" style="28"/>
  </cols>
  <sheetData>
    <row r="1" spans="1:120" s="25" customFormat="1" ht="17" customHeight="1" thickBot="1">
      <c r="A1" s="166" t="s">
        <v>139</v>
      </c>
      <c r="B1" s="169" t="s">
        <v>96</v>
      </c>
      <c r="C1" s="145"/>
      <c r="D1" s="145"/>
      <c r="E1" s="167" t="s">
        <v>97</v>
      </c>
      <c r="F1" s="160" t="s">
        <v>98</v>
      </c>
      <c r="G1" s="145"/>
      <c r="H1" s="164" t="s">
        <v>99</v>
      </c>
      <c r="I1" s="140" t="s">
        <v>10</v>
      </c>
      <c r="J1" s="138"/>
      <c r="K1" s="138"/>
      <c r="L1" s="139"/>
      <c r="M1" s="140" t="s">
        <v>12</v>
      </c>
      <c r="N1" s="138"/>
      <c r="O1" s="138"/>
      <c r="P1" s="139"/>
      <c r="Q1" s="140" t="s">
        <v>14</v>
      </c>
      <c r="R1" s="138"/>
      <c r="S1" s="138"/>
      <c r="T1" s="139"/>
      <c r="U1" s="140" t="s">
        <v>16</v>
      </c>
      <c r="V1" s="138"/>
      <c r="W1" s="138"/>
      <c r="X1" s="139"/>
      <c r="Y1" s="140" t="s">
        <v>18</v>
      </c>
      <c r="Z1" s="138"/>
      <c r="AA1" s="138"/>
      <c r="AB1" s="139"/>
      <c r="AC1" s="140" t="s">
        <v>20</v>
      </c>
      <c r="AD1" s="138"/>
      <c r="AE1" s="138"/>
      <c r="AF1" s="139"/>
      <c r="AG1" s="140" t="s">
        <v>22</v>
      </c>
      <c r="AH1" s="138"/>
      <c r="AI1" s="138"/>
      <c r="AJ1" s="139"/>
      <c r="AK1" s="140" t="s">
        <v>24</v>
      </c>
      <c r="AL1" s="138"/>
      <c r="AM1" s="138"/>
      <c r="AN1" s="139"/>
      <c r="AO1" s="140" t="s">
        <v>25</v>
      </c>
      <c r="AP1" s="138"/>
      <c r="AQ1" s="138"/>
      <c r="AR1" s="139"/>
      <c r="AS1" s="140" t="s">
        <v>26</v>
      </c>
      <c r="AT1" s="138"/>
      <c r="AU1" s="138"/>
      <c r="AV1" s="139"/>
      <c r="AW1" s="140" t="s">
        <v>27</v>
      </c>
      <c r="AX1" s="138"/>
      <c r="AY1" s="138"/>
      <c r="AZ1" s="139"/>
      <c r="BA1" s="140" t="s">
        <v>28</v>
      </c>
      <c r="BB1" s="138"/>
      <c r="BC1" s="138"/>
      <c r="BD1" s="139"/>
      <c r="BE1" s="140" t="s">
        <v>29</v>
      </c>
      <c r="BF1" s="138"/>
      <c r="BG1" s="138"/>
      <c r="BH1" s="139"/>
      <c r="BI1" s="140" t="s">
        <v>30</v>
      </c>
      <c r="BJ1" s="138"/>
      <c r="BK1" s="138"/>
      <c r="BL1" s="139"/>
      <c r="BM1" s="140" t="s">
        <v>31</v>
      </c>
      <c r="BN1" s="138"/>
      <c r="BO1" s="138"/>
      <c r="BP1" s="139"/>
      <c r="BQ1" s="140" t="s">
        <v>32</v>
      </c>
      <c r="BR1" s="138"/>
      <c r="BS1" s="138"/>
      <c r="BT1" s="139"/>
      <c r="BU1" s="140" t="s">
        <v>33</v>
      </c>
      <c r="BV1" s="138"/>
      <c r="BW1" s="138"/>
      <c r="BX1" s="139"/>
      <c r="BY1" s="140" t="s">
        <v>34</v>
      </c>
      <c r="BZ1" s="138"/>
      <c r="CA1" s="138"/>
      <c r="CB1" s="139"/>
      <c r="CC1" s="140" t="s">
        <v>35</v>
      </c>
      <c r="CD1" s="138"/>
      <c r="CE1" s="138"/>
      <c r="CF1" s="139"/>
      <c r="CG1" s="140" t="s">
        <v>36</v>
      </c>
      <c r="CH1" s="138"/>
      <c r="CI1" s="138"/>
      <c r="CJ1" s="139"/>
      <c r="CK1" s="140" t="s">
        <v>37</v>
      </c>
      <c r="CL1" s="138"/>
      <c r="CM1" s="138"/>
      <c r="CN1" s="139"/>
      <c r="CO1" s="140" t="s">
        <v>38</v>
      </c>
      <c r="CP1" s="138"/>
      <c r="CQ1" s="138"/>
      <c r="CR1" s="139"/>
      <c r="CS1" s="140" t="s">
        <v>39</v>
      </c>
      <c r="CT1" s="138"/>
      <c r="CU1" s="138"/>
      <c r="CV1" s="139"/>
      <c r="CW1" s="140" t="s">
        <v>40</v>
      </c>
      <c r="CX1" s="138"/>
      <c r="CY1" s="138"/>
      <c r="CZ1" s="139"/>
      <c r="DA1" s="140" t="s">
        <v>41</v>
      </c>
      <c r="DB1" s="138"/>
      <c r="DC1" s="138"/>
      <c r="DD1" s="139"/>
      <c r="DE1" s="140" t="s">
        <v>42</v>
      </c>
      <c r="DF1" s="138"/>
      <c r="DG1" s="138"/>
      <c r="DH1" s="139"/>
      <c r="DI1" s="140" t="s">
        <v>43</v>
      </c>
      <c r="DJ1" s="138"/>
      <c r="DK1" s="138"/>
      <c r="DL1" s="139"/>
      <c r="DM1" s="140" t="s">
        <v>129</v>
      </c>
      <c r="DN1" s="138"/>
      <c r="DO1" s="138"/>
      <c r="DP1" s="139"/>
    </row>
    <row r="2" spans="1:120" ht="13" customHeight="1" thickBot="1">
      <c r="A2" s="150"/>
      <c r="B2" s="152"/>
      <c r="C2" s="161"/>
      <c r="D2" s="161"/>
      <c r="E2" s="136"/>
      <c r="F2" s="146"/>
      <c r="G2" s="161"/>
      <c r="H2" s="136"/>
      <c r="I2" s="162" t="s">
        <v>100</v>
      </c>
      <c r="J2" s="163"/>
      <c r="K2" s="26"/>
      <c r="L2" s="27" t="s">
        <v>101</v>
      </c>
      <c r="M2" s="162" t="s">
        <v>100</v>
      </c>
      <c r="N2" s="163"/>
      <c r="O2" s="26"/>
      <c r="P2" s="27" t="s">
        <v>101</v>
      </c>
      <c r="Q2" s="162" t="s">
        <v>100</v>
      </c>
      <c r="R2" s="163"/>
      <c r="S2" s="26"/>
      <c r="T2" s="27" t="s">
        <v>101</v>
      </c>
      <c r="U2" s="162" t="s">
        <v>100</v>
      </c>
      <c r="V2" s="163"/>
      <c r="W2" s="26"/>
      <c r="X2" s="27" t="s">
        <v>101</v>
      </c>
      <c r="Y2" s="162" t="s">
        <v>100</v>
      </c>
      <c r="Z2" s="163"/>
      <c r="AA2" s="26"/>
      <c r="AB2" s="27" t="s">
        <v>101</v>
      </c>
      <c r="AC2" s="162" t="s">
        <v>100</v>
      </c>
      <c r="AD2" s="163"/>
      <c r="AE2" s="26"/>
      <c r="AF2" s="27" t="s">
        <v>101</v>
      </c>
      <c r="AG2" s="162" t="s">
        <v>100</v>
      </c>
      <c r="AH2" s="163"/>
      <c r="AI2" s="26"/>
      <c r="AJ2" s="27" t="s">
        <v>101</v>
      </c>
      <c r="AK2" s="162" t="s">
        <v>100</v>
      </c>
      <c r="AL2" s="163"/>
      <c r="AM2" s="26"/>
      <c r="AN2" s="27" t="s">
        <v>101</v>
      </c>
      <c r="AO2" s="162" t="s">
        <v>100</v>
      </c>
      <c r="AP2" s="163"/>
      <c r="AQ2" s="26"/>
      <c r="AR2" s="27" t="s">
        <v>101</v>
      </c>
      <c r="AS2" s="162" t="s">
        <v>100</v>
      </c>
      <c r="AT2" s="163"/>
      <c r="AU2" s="26"/>
      <c r="AV2" s="27" t="s">
        <v>101</v>
      </c>
      <c r="AW2" s="162" t="s">
        <v>100</v>
      </c>
      <c r="AX2" s="163"/>
      <c r="AY2" s="26"/>
      <c r="AZ2" s="27" t="s">
        <v>101</v>
      </c>
      <c r="BA2" s="162" t="s">
        <v>100</v>
      </c>
      <c r="BB2" s="163"/>
      <c r="BC2" s="26"/>
      <c r="BD2" s="27" t="s">
        <v>101</v>
      </c>
      <c r="BE2" s="162" t="s">
        <v>100</v>
      </c>
      <c r="BF2" s="163"/>
      <c r="BG2" s="26"/>
      <c r="BH2" s="27" t="s">
        <v>101</v>
      </c>
      <c r="BI2" s="162" t="s">
        <v>100</v>
      </c>
      <c r="BJ2" s="163"/>
      <c r="BK2" s="26"/>
      <c r="BL2" s="27" t="s">
        <v>101</v>
      </c>
      <c r="BM2" s="162" t="s">
        <v>100</v>
      </c>
      <c r="BN2" s="163"/>
      <c r="BO2" s="26"/>
      <c r="BP2" s="27" t="s">
        <v>101</v>
      </c>
      <c r="BQ2" s="162" t="s">
        <v>100</v>
      </c>
      <c r="BR2" s="163"/>
      <c r="BS2" s="26"/>
      <c r="BT2" s="27" t="s">
        <v>101</v>
      </c>
      <c r="BU2" s="162" t="s">
        <v>100</v>
      </c>
      <c r="BV2" s="163"/>
      <c r="BW2" s="26"/>
      <c r="BX2" s="27" t="s">
        <v>101</v>
      </c>
      <c r="BY2" s="162" t="s">
        <v>100</v>
      </c>
      <c r="BZ2" s="163"/>
      <c r="CA2" s="26"/>
      <c r="CB2" s="27" t="s">
        <v>101</v>
      </c>
      <c r="CC2" s="162" t="s">
        <v>100</v>
      </c>
      <c r="CD2" s="163"/>
      <c r="CE2" s="26"/>
      <c r="CF2" s="27" t="s">
        <v>101</v>
      </c>
      <c r="CG2" s="162" t="s">
        <v>100</v>
      </c>
      <c r="CH2" s="163"/>
      <c r="CI2" s="26"/>
      <c r="CJ2" s="27" t="s">
        <v>101</v>
      </c>
      <c r="CK2" s="162" t="s">
        <v>100</v>
      </c>
      <c r="CL2" s="163"/>
      <c r="CM2" s="26"/>
      <c r="CN2" s="27" t="s">
        <v>101</v>
      </c>
      <c r="CO2" s="162" t="s">
        <v>100</v>
      </c>
      <c r="CP2" s="163"/>
      <c r="CQ2" s="26"/>
      <c r="CR2" s="27" t="s">
        <v>101</v>
      </c>
      <c r="CS2" s="162" t="s">
        <v>100</v>
      </c>
      <c r="CT2" s="163"/>
      <c r="CU2" s="26"/>
      <c r="CV2" s="27" t="s">
        <v>101</v>
      </c>
      <c r="CW2" s="162" t="s">
        <v>100</v>
      </c>
      <c r="CX2" s="163"/>
      <c r="CY2" s="26"/>
      <c r="CZ2" s="27" t="s">
        <v>101</v>
      </c>
      <c r="DA2" s="162" t="s">
        <v>100</v>
      </c>
      <c r="DB2" s="163"/>
      <c r="DC2" s="26"/>
      <c r="DD2" s="27" t="s">
        <v>101</v>
      </c>
      <c r="DE2" s="162" t="s">
        <v>100</v>
      </c>
      <c r="DF2" s="163"/>
      <c r="DG2" s="26"/>
      <c r="DH2" s="27" t="s">
        <v>101</v>
      </c>
      <c r="DI2" s="162" t="s">
        <v>100</v>
      </c>
      <c r="DJ2" s="163"/>
      <c r="DK2" s="26"/>
      <c r="DL2" s="27" t="s">
        <v>101</v>
      </c>
      <c r="DM2" s="162" t="s">
        <v>100</v>
      </c>
      <c r="DN2" s="163"/>
      <c r="DO2" s="26"/>
      <c r="DP2" s="27" t="s">
        <v>101</v>
      </c>
    </row>
    <row r="3" spans="1:120" s="29" customFormat="1" ht="13" customHeight="1" thickBot="1">
      <c r="A3" s="168" t="s">
        <v>102</v>
      </c>
      <c r="B3" s="138"/>
      <c r="C3" s="138"/>
      <c r="D3" s="138"/>
      <c r="E3" s="138"/>
      <c r="F3" s="138"/>
      <c r="G3" s="138"/>
      <c r="H3" s="139"/>
      <c r="I3" s="165">
        <f>SUMIF($D$4:$D$67,$D$7,L4:L67)</f>
        <v>0</v>
      </c>
      <c r="J3" s="138"/>
      <c r="K3" s="138"/>
      <c r="L3" s="139"/>
      <c r="M3" s="165">
        <f>SUMIF($D$4:$D$67,$D$7,P4:P67)</f>
        <v>0</v>
      </c>
      <c r="N3" s="138"/>
      <c r="O3" s="138"/>
      <c r="P3" s="139"/>
      <c r="Q3" s="165">
        <f>SUMIF($D$4:$D$67,$D$7,T4:T67)</f>
        <v>0</v>
      </c>
      <c r="R3" s="138"/>
      <c r="S3" s="138"/>
      <c r="T3" s="139"/>
      <c r="U3" s="165">
        <f>SUMIF($D$4:$D$67,$D$7,X4:X67)</f>
        <v>0</v>
      </c>
      <c r="V3" s="138"/>
      <c r="W3" s="138"/>
      <c r="X3" s="139"/>
      <c r="Y3" s="165">
        <f>SUMIF($D$4:$D$67,$D$7,AB4:AB67)</f>
        <v>0</v>
      </c>
      <c r="Z3" s="138"/>
      <c r="AA3" s="138"/>
      <c r="AB3" s="139"/>
      <c r="AC3" s="165">
        <f>SUMIF($D$4:$D$67,$D$7,AF4:AF67)</f>
        <v>0</v>
      </c>
      <c r="AD3" s="138"/>
      <c r="AE3" s="138"/>
      <c r="AF3" s="139"/>
      <c r="AG3" s="165">
        <f>SUMIF($D$4:$D$67,$D$7,AJ4:AJ67)</f>
        <v>0</v>
      </c>
      <c r="AH3" s="138"/>
      <c r="AI3" s="138"/>
      <c r="AJ3" s="139"/>
      <c r="AK3" s="165">
        <f>SUMIF($D$4:$D$67,$D$7,AN4:AN67)</f>
        <v>0</v>
      </c>
      <c r="AL3" s="138"/>
      <c r="AM3" s="138"/>
      <c r="AN3" s="139"/>
      <c r="AO3" s="165">
        <f>SUMIF($D$4:$D$67,$D$7,AR4:AR67)</f>
        <v>0</v>
      </c>
      <c r="AP3" s="138"/>
      <c r="AQ3" s="138"/>
      <c r="AR3" s="139"/>
      <c r="AS3" s="165">
        <f>SUMIF($D$4:$D$67,$D$7,AV4:AV67)</f>
        <v>0</v>
      </c>
      <c r="AT3" s="138"/>
      <c r="AU3" s="138"/>
      <c r="AV3" s="139"/>
      <c r="AW3" s="165">
        <f>SUMIF($D$4:$D$67,$D$7,AZ4:AZ67)</f>
        <v>0</v>
      </c>
      <c r="AX3" s="138"/>
      <c r="AY3" s="138"/>
      <c r="AZ3" s="139"/>
      <c r="BA3" s="165">
        <f>SUMIF($D$4:$D$67,$D$7,BD4:BD67)</f>
        <v>0</v>
      </c>
      <c r="BB3" s="138"/>
      <c r="BC3" s="138"/>
      <c r="BD3" s="139"/>
      <c r="BE3" s="165">
        <f>SUMIF($D$4:$D$67,$D$7,BH4:BH67)</f>
        <v>0</v>
      </c>
      <c r="BF3" s="138"/>
      <c r="BG3" s="138"/>
      <c r="BH3" s="139"/>
      <c r="BI3" s="165">
        <f>SUMIF($D$4:$D$67,$D$7,BL4:BL67)</f>
        <v>0</v>
      </c>
      <c r="BJ3" s="138"/>
      <c r="BK3" s="138"/>
      <c r="BL3" s="139"/>
      <c r="BM3" s="165">
        <f>SUMIF($D$4:$D$67,$D$7,BP4:BP67)</f>
        <v>0</v>
      </c>
      <c r="BN3" s="138"/>
      <c r="BO3" s="138"/>
      <c r="BP3" s="139"/>
      <c r="BQ3" s="165">
        <f>SUMIF($D$4:$D$67,$D$7,BT4:BT67)</f>
        <v>0</v>
      </c>
      <c r="BR3" s="138"/>
      <c r="BS3" s="138"/>
      <c r="BT3" s="139"/>
      <c r="BU3" s="165">
        <f>SUMIF($D$4:$D$67,$D$7,BX4:BX67)</f>
        <v>0</v>
      </c>
      <c r="BV3" s="138"/>
      <c r="BW3" s="138"/>
      <c r="BX3" s="139"/>
      <c r="BY3" s="165">
        <f>SUMIF($D$4:$D$67,$D$7,CB4:CB67)</f>
        <v>0</v>
      </c>
      <c r="BZ3" s="138"/>
      <c r="CA3" s="138"/>
      <c r="CB3" s="139"/>
      <c r="CC3" s="165">
        <f>SUMIF($D$4:$D$67,$D$7,CF4:CF67)</f>
        <v>0</v>
      </c>
      <c r="CD3" s="138"/>
      <c r="CE3" s="138"/>
      <c r="CF3" s="139"/>
      <c r="CG3" s="165">
        <f>SUMIF($D$4:$D$67,$D$7,CJ4:CJ67)</f>
        <v>0</v>
      </c>
      <c r="CH3" s="138"/>
      <c r="CI3" s="138"/>
      <c r="CJ3" s="139"/>
      <c r="CK3" s="165">
        <f>SUMIF($D$4:$D$67,$D$7,CN4:CN67)</f>
        <v>0</v>
      </c>
      <c r="CL3" s="138"/>
      <c r="CM3" s="138"/>
      <c r="CN3" s="139"/>
      <c r="CO3" s="165">
        <f>SUMIF($D$4:$D$67,$D$7,CR4:CR67)</f>
        <v>0</v>
      </c>
      <c r="CP3" s="138"/>
      <c r="CQ3" s="138"/>
      <c r="CR3" s="139"/>
      <c r="CS3" s="165">
        <f>SUMIF($D$4:$D$67,$D$7,CV4:CV67)</f>
        <v>0</v>
      </c>
      <c r="CT3" s="138"/>
      <c r="CU3" s="138"/>
      <c r="CV3" s="139"/>
      <c r="CW3" s="165">
        <f>SUMIF($D$4:$D$67,$D$7,CZ4:CZ67)</f>
        <v>0</v>
      </c>
      <c r="CX3" s="138"/>
      <c r="CY3" s="138"/>
      <c r="CZ3" s="139"/>
      <c r="DA3" s="165">
        <f>SUMIF($D$4:$D$67,$D$7,DD4:DD67)</f>
        <v>0</v>
      </c>
      <c r="DB3" s="138"/>
      <c r="DC3" s="138"/>
      <c r="DD3" s="139"/>
      <c r="DE3" s="165">
        <f>SUMIF($D$4:$D$67,$D$7,DH4:DH67)</f>
        <v>0</v>
      </c>
      <c r="DF3" s="138"/>
      <c r="DG3" s="138"/>
      <c r="DH3" s="139"/>
      <c r="DI3" s="165">
        <f>SUMIF($D$4:$D$67,$D$7,DL4:DL67)</f>
        <v>0</v>
      </c>
      <c r="DJ3" s="138"/>
      <c r="DK3" s="138"/>
      <c r="DL3" s="139"/>
      <c r="DM3" s="165">
        <f>SUMIF($D$4:$D$67,$D$7,DP4:DP67)</f>
        <v>0</v>
      </c>
      <c r="DN3" s="138"/>
      <c r="DO3" s="138"/>
      <c r="DP3" s="139"/>
    </row>
    <row r="4" spans="1:120" ht="14" customHeight="1" thickBot="1">
      <c r="A4" s="113">
        <v>43436</v>
      </c>
      <c r="B4" s="30" t="s">
        <v>140</v>
      </c>
      <c r="C4" s="127"/>
      <c r="D4" s="32" t="s">
        <v>141</v>
      </c>
      <c r="E4" s="33">
        <f t="shared" ref="E4:E35" si="0">L4+P4+T4+X4+AB4+AF4+AJ4+AN4+AR4+AV4+AZ4+BD4+BH4+BL4+BP4+BT4+BX4+CB4+CF4+CJ4+CN4+CR4+CV4+CZ4</f>
        <v>0</v>
      </c>
      <c r="F4" s="34"/>
      <c r="G4" s="35"/>
      <c r="H4" s="36" t="b">
        <f t="shared" ref="H4:H35" si="1">IF(ISNUMBER(F4),IF(F4&gt;G4,"1",IF(F4&lt;G4,"2","X")))</f>
        <v>0</v>
      </c>
      <c r="I4" s="37"/>
      <c r="J4" s="38"/>
      <c r="K4" s="39" t="str">
        <f t="shared" ref="K4:K35" si="2">IF(I4&gt;J4,"1",IF(I4&lt;J4,"2","X"))</f>
        <v>X</v>
      </c>
      <c r="L4" s="40" t="b">
        <f>IF(ISNUMBER(I4), IF(K4=$H4,IF(I4=$F4,IF(J4=$G4,IF($F4-$G4&gt;=3,6,IF($G4-$F4&gt;=3,6,IF($F4+$G4&gt;=4,6,5))),3),3),0))</f>
        <v>0</v>
      </c>
      <c r="M4" s="37"/>
      <c r="N4" s="38"/>
      <c r="O4" s="39" t="str">
        <f t="shared" ref="O4:O35" si="3">IF(M4&gt;N4,"1",IF(M4&lt;N4,"2","X"))</f>
        <v>X</v>
      </c>
      <c r="P4" s="40" t="b">
        <f>IF(ISNUMBER(M4), IF(O4=$H4,IF(M4=$F4,IF(N4=$G4,IF($F4-$G4&gt;=3,6,IF($G4-$F4&gt;=3,6,IF($F4+$G4&gt;=4,6,5))),3),3),0))</f>
        <v>0</v>
      </c>
      <c r="Q4" s="37"/>
      <c r="R4" s="38"/>
      <c r="S4" s="39" t="str">
        <f t="shared" ref="S4:S35" si="4">IF(Q4&gt;R4,"1",IF(Q4&lt;R4,"2","X"))</f>
        <v>X</v>
      </c>
      <c r="T4" s="40" t="b">
        <f>IF(ISNUMBER(Q4), IF(S4=$H4,IF(Q4=$F4,IF(R4=$G4,IF($F4-$G4&gt;=3,6,IF($G4-$F4&gt;=3,6,IF($F4+$G4&gt;=4,6,5))),3),3),0))</f>
        <v>0</v>
      </c>
      <c r="U4" s="37"/>
      <c r="V4" s="38"/>
      <c r="W4" s="39" t="str">
        <f t="shared" ref="W4:W35" si="5">IF(U4&gt;V4,"1",IF(U4&lt;V4,"2","X"))</f>
        <v>X</v>
      </c>
      <c r="X4" s="40" t="b">
        <f>IF(ISNUMBER(U4), IF(W4=$H4,IF(U4=$F4,IF(V4=$G4,IF($F4-$G4&gt;=3,6,IF($G4-$F4&gt;=3,6,IF($F4+$G4&gt;=4,6,5))),3),3),0))</f>
        <v>0</v>
      </c>
      <c r="Y4" s="37"/>
      <c r="Z4" s="38"/>
      <c r="AA4" s="39" t="str">
        <f t="shared" ref="AA4:AA35" si="6">IF(Y4&gt;Z4,"1",IF(Y4&lt;Z4,"2","X"))</f>
        <v>X</v>
      </c>
      <c r="AB4" s="40" t="b">
        <f>IF(ISNUMBER(Y4), IF(AA4=$H4,IF(Y4=$F4,IF(Z4=$G4,IF($F4-$G4&gt;=3,6,IF($G4-$F4&gt;=3,6,IF($F4+$G4&gt;=4,6,5))),3),3),0))</f>
        <v>0</v>
      </c>
      <c r="AC4" s="37"/>
      <c r="AD4" s="38"/>
      <c r="AE4" s="39" t="str">
        <f t="shared" ref="AE4:AE35" si="7">IF(AC4&gt;AD4,"1",IF(AC4&lt;AD4,"2","X"))</f>
        <v>X</v>
      </c>
      <c r="AF4" s="40" t="b">
        <f>IF(ISNUMBER(AC4), IF(AE4=$H4,IF(AC4=$F4,IF(AD4=$G4,IF($F4-$G4&gt;=3,6,IF($G4-$F4&gt;=3,6,IF($F4+$G4&gt;=4,6,5))),3),3),0))</f>
        <v>0</v>
      </c>
      <c r="AG4" s="37"/>
      <c r="AH4" s="38"/>
      <c r="AI4" s="39" t="str">
        <f t="shared" ref="AI4:AI35" si="8">IF(AG4&gt;AH4,"1",IF(AG4&lt;AH4,"2","X"))</f>
        <v>X</v>
      </c>
      <c r="AJ4" s="40" t="b">
        <f>IF(ISNUMBER(AG4), IF(AI4=$H4,IF(AG4=$F4,IF(AH4=$G4,IF($F4-$G4&gt;=3,6,IF($G4-$F4&gt;=3,6,IF($F4+$G4&gt;=4,6,5))),3),3),0))</f>
        <v>0</v>
      </c>
      <c r="AK4" s="37"/>
      <c r="AL4" s="38"/>
      <c r="AM4" s="39" t="str">
        <f t="shared" ref="AM4:AM35" si="9">IF(AK4&gt;AL4,"1",IF(AK4&lt;AL4,"2","X"))</f>
        <v>X</v>
      </c>
      <c r="AN4" s="40" t="b">
        <f>IF(ISNUMBER(AK4), IF(AM4=$H4,IF(AK4=$F4,IF(AL4=$G4,IF($F4-$G4&gt;=3,6,IF($G4-$F4&gt;=3,6,IF($F4+$G4&gt;=4,6,5))),3),3),0))</f>
        <v>0</v>
      </c>
      <c r="AO4" s="37"/>
      <c r="AP4" s="38"/>
      <c r="AQ4" s="39" t="str">
        <f t="shared" ref="AQ4:AQ35" si="10">IF(AO4&gt;AP4,"1",IF(AO4&lt;AP4,"2","X"))</f>
        <v>X</v>
      </c>
      <c r="AR4" s="40" t="b">
        <f>IF(ISNUMBER(AO4), IF(AQ4=$H4,IF(AO4=$F4,IF(AP4=$G4,IF($F4-$G4&gt;=3,6,IF($G4-$F4&gt;=3,6,IF($F4+$G4&gt;=4,6,5))),3),3),0))</f>
        <v>0</v>
      </c>
      <c r="AS4" s="37"/>
      <c r="AT4" s="38"/>
      <c r="AU4" s="39" t="str">
        <f t="shared" ref="AU4:AU35" si="11">IF(AS4&gt;AT4,"1",IF(AS4&lt;AT4,"2","X"))</f>
        <v>X</v>
      </c>
      <c r="AV4" s="40" t="b">
        <f>IF(ISNUMBER(AS4), IF(AU4=$H4,IF(AS4=$F4,IF(AT4=$G4,IF($F4-$G4&gt;=3,6,IF($G4-$F4&gt;=3,6,IF($F4+$G4&gt;=4,6,5))),3),3),0))</f>
        <v>0</v>
      </c>
      <c r="AW4" s="37"/>
      <c r="AX4" s="38"/>
      <c r="AY4" s="39" t="str">
        <f t="shared" ref="AY4:AY35" si="12">IF(AW4&gt;AX4,"1",IF(AW4&lt;AX4,"2","X"))</f>
        <v>X</v>
      </c>
      <c r="AZ4" s="40" t="b">
        <f>IF(ISNUMBER(AW4), IF(AY4=$H4,IF(AW4=$F4,IF(AX4=$G4,IF($F4-$G4&gt;=3,6,IF($G4-$F4&gt;=3,6,IF($F4+$G4&gt;=4,6,5))),3),3),0))</f>
        <v>0</v>
      </c>
      <c r="BA4" s="37"/>
      <c r="BB4" s="38"/>
      <c r="BC4" s="39" t="str">
        <f t="shared" ref="BC4:BC35" si="13">IF(BA4&gt;BB4,"1",IF(BA4&lt;BB4,"2","X"))</f>
        <v>X</v>
      </c>
      <c r="BD4" s="40" t="b">
        <f>IF(ISNUMBER(BA4), IF(BC4=$H4,IF(BA4=$F4,IF(BB4=$G4,IF($F4-$G4&gt;=3,6,IF($G4-$F4&gt;=3,6,IF($F4+$G4&gt;=4,6,5))),3),3),0))</f>
        <v>0</v>
      </c>
      <c r="BE4" s="37"/>
      <c r="BF4" s="38"/>
      <c r="BG4" s="39" t="str">
        <f t="shared" ref="BG4:BG35" si="14">IF(BE4&gt;BF4,"1",IF(BE4&lt;BF4,"2","X"))</f>
        <v>X</v>
      </c>
      <c r="BH4" s="40" t="b">
        <f>IF(ISNUMBER(BE4), IF(BG4=$H4,IF(BE4=$F4,IF(BF4=$G4,IF($F4-$G4&gt;=3,6,IF($G4-$F4&gt;=3,6,IF($F4+$G4&gt;=4,6,5))),3),3),0))</f>
        <v>0</v>
      </c>
      <c r="BI4" s="37"/>
      <c r="BJ4" s="38"/>
      <c r="BK4" s="39" t="str">
        <f t="shared" ref="BK4:BK35" si="15">IF(BI4&gt;BJ4,"1",IF(BI4&lt;BJ4,"2","X"))</f>
        <v>X</v>
      </c>
      <c r="BL4" s="40" t="b">
        <f>IF(ISNUMBER(BI4), IF(BK4=$H4,IF(BI4=$F4,IF(BJ4=$G4,IF($F4-$G4&gt;=3,6,IF($G4-$F4&gt;=3,6,IF($F4+$G4&gt;=4,6,5))),3),3),0))</f>
        <v>0</v>
      </c>
      <c r="BM4" s="37"/>
      <c r="BN4" s="38"/>
      <c r="BO4" s="39" t="str">
        <f t="shared" ref="BO4:BO35" si="16">IF(BM4&gt;BN4,"1",IF(BM4&lt;BN4,"2","X"))</f>
        <v>X</v>
      </c>
      <c r="BP4" s="40" t="b">
        <f>IF(ISNUMBER(BM4), IF(BO4=$H4,IF(BM4=$F4,IF(BN4=$G4,IF($F4-$G4&gt;=3,6,IF($G4-$F4&gt;=3,6,IF($F4+$G4&gt;=4,6,5))),3),3),0))</f>
        <v>0</v>
      </c>
      <c r="BQ4" s="37"/>
      <c r="BR4" s="38"/>
      <c r="BS4" s="39" t="str">
        <f t="shared" ref="BS4:BS35" si="17">IF(BQ4&gt;BR4,"1",IF(BQ4&lt;BR4,"2","X"))</f>
        <v>X</v>
      </c>
      <c r="BT4" s="40" t="b">
        <f>IF(ISNUMBER(BQ4), IF(BS4=$H4,IF(BQ4=$F4,IF(BR4=$G4,IF($F4-$G4&gt;=3,6,IF($G4-$F4&gt;=3,6,IF($F4+$G4&gt;=4,6,5))),3),3),0))</f>
        <v>0</v>
      </c>
      <c r="BU4" s="37"/>
      <c r="BV4" s="38"/>
      <c r="BW4" s="39" t="str">
        <f t="shared" ref="BW4:BW35" si="18">IF(BU4&gt;BV4,"1",IF(BU4&lt;BV4,"2","X"))</f>
        <v>X</v>
      </c>
      <c r="BX4" s="40" t="b">
        <f>IF(ISNUMBER(BU4), IF(BW4=$H4,IF(BU4=$F4,IF(BV4=$G4,IF($F4-$G4&gt;=3,6,IF($G4-$F4&gt;=3,6,IF($F4+$G4&gt;=4,6,5))),3),3),0))</f>
        <v>0</v>
      </c>
      <c r="BY4" s="37"/>
      <c r="BZ4" s="38"/>
      <c r="CA4" s="39" t="str">
        <f t="shared" ref="CA4:CA35" si="19">IF(BY4&gt;BZ4,"1",IF(BY4&lt;BZ4,"2","X"))</f>
        <v>X</v>
      </c>
      <c r="CB4" s="40" t="b">
        <f>IF(ISNUMBER(BY4), IF(CA4=$H4,IF(BY4=$F4,IF(BZ4=$G4,IF($F4-$G4&gt;=3,6,IF($G4-$F4&gt;=3,6,IF($F4+$G4&gt;=4,6,5))),3),3),0))</f>
        <v>0</v>
      </c>
      <c r="CC4" s="37"/>
      <c r="CD4" s="38"/>
      <c r="CE4" s="39" t="str">
        <f t="shared" ref="CE4:CE35" si="20">IF(CC4&gt;CD4,"1",IF(CC4&lt;CD4,"2","X"))</f>
        <v>X</v>
      </c>
      <c r="CF4" s="40" t="b">
        <f>IF(ISNUMBER(CC4), IF(CE4=$H4,IF(CC4=$F4,IF(CD4=$G4,IF($F4-$G4&gt;=3,6,IF($G4-$F4&gt;=3,6,IF($F4+$G4&gt;=4,6,5))),3),3),0))</f>
        <v>0</v>
      </c>
      <c r="CG4" s="37"/>
      <c r="CH4" s="38"/>
      <c r="CI4" s="39" t="str">
        <f t="shared" ref="CI4:CI35" si="21">IF(CG4&gt;CH4,"1",IF(CG4&lt;CH4,"2","X"))</f>
        <v>X</v>
      </c>
      <c r="CJ4" s="40" t="b">
        <f>IF(ISNUMBER(CG4), IF(CI4=$H4,IF(CG4=$F4,IF(CH4=$G4,IF($F4-$G4&gt;=3,6,IF($G4-$F4&gt;=3,6,IF($F4+$G4&gt;=4,6,5))),3),3),0))</f>
        <v>0</v>
      </c>
      <c r="CK4" s="37"/>
      <c r="CL4" s="38"/>
      <c r="CM4" s="39" t="str">
        <f t="shared" ref="CM4:CM35" si="22">IF(CK4&gt;CL4,"1",IF(CK4&lt;CL4,"2","X"))</f>
        <v>X</v>
      </c>
      <c r="CN4" s="40" t="b">
        <f>IF(ISNUMBER(CK4), IF(CM4=$H4,IF(CK4=$F4,IF(CL4=$G4,IF($F4-$G4&gt;=3,6,IF($G4-$F4&gt;=3,6,IF($F4+$G4&gt;=4,6,5))),3),3),0))</f>
        <v>0</v>
      </c>
      <c r="CO4" s="37"/>
      <c r="CP4" s="38"/>
      <c r="CQ4" s="39" t="str">
        <f t="shared" ref="CQ4:CQ35" si="23">IF(CO4&gt;CP4,"1",IF(CO4&lt;CP4,"2","X"))</f>
        <v>X</v>
      </c>
      <c r="CR4" s="40" t="b">
        <f>IF(ISNUMBER(CO4), IF(CQ4=$H4,IF(CO4=$F4,IF(CP4=$G4,IF($F4-$G4&gt;=3,6,IF($G4-$F4&gt;=3,6,IF($F4+$G4&gt;=4,6,5))),3),3),0))</f>
        <v>0</v>
      </c>
      <c r="CS4" s="37"/>
      <c r="CT4" s="38"/>
      <c r="CU4" s="39" t="str">
        <f t="shared" ref="CU4:CU35" si="24">IF(CS4&gt;CT4,"1",IF(CS4&lt;CT4,"2","X"))</f>
        <v>X</v>
      </c>
      <c r="CV4" s="40" t="b">
        <f>IF(ISNUMBER(CS4), IF(CU4=$H4,IF(CS4=$F4,IF(CT4=$G4,IF($F4-$G4&gt;=3,6,IF($G4-$F4&gt;=3,6,IF($F4+$G4&gt;=4,6,5))),3),3),0))</f>
        <v>0</v>
      </c>
      <c r="CW4" s="37"/>
      <c r="CX4" s="38"/>
      <c r="CY4" s="39" t="str">
        <f t="shared" ref="CY4:CY35" si="25">IF(CW4&gt;CX4,"1",IF(CW4&lt;CX4,"2","X"))</f>
        <v>X</v>
      </c>
      <c r="CZ4" s="40" t="b">
        <f>IF(ISNUMBER(CW4), IF(CY4=$H4,IF(CW4=$F4,IF(CX4=$G4,IF($F4-$G4&gt;=3,6,IF($G4-$F4&gt;=3,6,IF($F4+$G4&gt;=4,6,5))),3),3),0))</f>
        <v>0</v>
      </c>
      <c r="DA4" s="37"/>
      <c r="DB4" s="38"/>
      <c r="DC4" s="39" t="str">
        <f t="shared" ref="DC4:DC35" si="26">IF(DA4&gt;DB4,"1",IF(DA4&lt;DB4,"2","X"))</f>
        <v>X</v>
      </c>
      <c r="DD4" s="40" t="b">
        <f>IF(ISNUMBER(DA4), IF(DC4=$H4,IF(DA4=$F4,IF(DB4=$G4,IF($F4-$G4&gt;=3,6,IF($G4-$F4&gt;=3,6,IF($F4+$G4&gt;=4,6,5))),3),3),0))</f>
        <v>0</v>
      </c>
      <c r="DE4" s="37"/>
      <c r="DF4" s="38"/>
      <c r="DG4" s="39" t="str">
        <f t="shared" ref="DG4:DG35" si="27">IF(DE4&gt;DF4,"1",IF(DE4&lt;DF4,"2","X"))</f>
        <v>X</v>
      </c>
      <c r="DH4" s="40" t="b">
        <f>IF(ISNUMBER(DE4), IF(DG4=$H4,IF(DE4=$F4,IF(DF4=$G4,IF($F4-$G4&gt;=3,6,IF($G4-$F4&gt;=3,6,IF($F4+$G4&gt;=4,6,5))),3),3),0))</f>
        <v>0</v>
      </c>
      <c r="DI4" s="37"/>
      <c r="DJ4" s="38"/>
      <c r="DK4" s="39" t="str">
        <f t="shared" ref="DK4:DK35" si="28">IF(DI4&gt;DJ4,"1",IF(DI4&lt;DJ4,"2","X"))</f>
        <v>X</v>
      </c>
      <c r="DL4" s="40" t="b">
        <f>IF(ISNUMBER(DI4), IF(DK4=$H4,IF(DI4=$F4,IF(DJ4=$G4,IF($F4-$G4&gt;=3,6,IF($G4-$F4&gt;=3,6,IF($F4+$G4&gt;=4,6,5))),3),3),0))</f>
        <v>0</v>
      </c>
      <c r="DM4" s="37"/>
      <c r="DN4" s="38"/>
      <c r="DO4" s="39" t="str">
        <f t="shared" ref="DO4:DO67" si="29">IF(DM4&gt;DN4,"1",IF(DM4&lt;DN4,"2","X"))</f>
        <v>X</v>
      </c>
      <c r="DP4" s="40" t="b">
        <f>IF(ISNUMBER(DM4), IF(DO4=$H4,IF(DM4=$F4,IF(DN4=$G4,IF($F4-$G4&gt;=3,6,IF($G4-$F4&gt;=3,6,IF($F4+$G4&gt;=4,6,5))),3),3),0))</f>
        <v>0</v>
      </c>
    </row>
    <row r="5" spans="1:120" ht="13" customHeight="1" thickBot="1">
      <c r="A5" s="41"/>
      <c r="B5" s="42"/>
      <c r="C5" s="43"/>
      <c r="D5" s="44" t="s">
        <v>142</v>
      </c>
      <c r="E5" s="33">
        <f t="shared" si="0"/>
        <v>0</v>
      </c>
      <c r="F5" s="45"/>
      <c r="G5" s="46"/>
      <c r="H5" s="47" t="b">
        <f t="shared" si="1"/>
        <v>0</v>
      </c>
      <c r="I5" s="48"/>
      <c r="J5" s="49"/>
      <c r="K5" s="50" t="str">
        <f t="shared" si="2"/>
        <v>X</v>
      </c>
      <c r="L5" s="51" t="b">
        <f>IF(ISNUMBER(I5), IF(K5=$H5,IF(I5=$F5,IF(J5=$G5,2,1),1),0))</f>
        <v>0</v>
      </c>
      <c r="M5" s="48"/>
      <c r="N5" s="49"/>
      <c r="O5" s="50" t="str">
        <f t="shared" si="3"/>
        <v>X</v>
      </c>
      <c r="P5" s="51" t="b">
        <f>IF(ISNUMBER(M5), IF(O5=$H5,IF(M5=$F5,IF(N5=$G5,2,1),1),0))</f>
        <v>0</v>
      </c>
      <c r="Q5" s="48"/>
      <c r="R5" s="49"/>
      <c r="S5" s="50" t="str">
        <f t="shared" si="4"/>
        <v>X</v>
      </c>
      <c r="T5" s="51" t="b">
        <f>IF(ISNUMBER(Q5), IF(S5=$H5,IF(Q5=$F5,IF(R5=$G5,2,1),1),0))</f>
        <v>0</v>
      </c>
      <c r="U5" s="48"/>
      <c r="V5" s="49"/>
      <c r="W5" s="50" t="str">
        <f t="shared" si="5"/>
        <v>X</v>
      </c>
      <c r="X5" s="51" t="b">
        <f>IF(ISNUMBER(U5), IF(W5=$H5,IF(U5=$F5,IF(V5=$G5,2,1),1),0))</f>
        <v>0</v>
      </c>
      <c r="Y5" s="48"/>
      <c r="Z5" s="49"/>
      <c r="AA5" s="50" t="str">
        <f t="shared" si="6"/>
        <v>X</v>
      </c>
      <c r="AB5" s="51" t="b">
        <f>IF(ISNUMBER(Y5), IF(AA5=$H5,IF(Y5=$F5,IF(Z5=$G5,2,1),1),0))</f>
        <v>0</v>
      </c>
      <c r="AC5" s="48"/>
      <c r="AD5" s="49"/>
      <c r="AE5" s="50" t="str">
        <f t="shared" si="7"/>
        <v>X</v>
      </c>
      <c r="AF5" s="51" t="b">
        <f>IF(ISNUMBER(AC5), IF(AE5=$H5,IF(AC5=$F5,IF(AD5=$G5,2,1),1),0))</f>
        <v>0</v>
      </c>
      <c r="AG5" s="48"/>
      <c r="AH5" s="49"/>
      <c r="AI5" s="50" t="str">
        <f t="shared" si="8"/>
        <v>X</v>
      </c>
      <c r="AJ5" s="51" t="b">
        <f>IF(ISNUMBER(AG5), IF(AI5=$H5,IF(AG5=$F5,IF(AH5=$G5,2,1),1),0))</f>
        <v>0</v>
      </c>
      <c r="AK5" s="48"/>
      <c r="AL5" s="49"/>
      <c r="AM5" s="50" t="str">
        <f t="shared" si="9"/>
        <v>X</v>
      </c>
      <c r="AN5" s="51" t="b">
        <f>IF(ISNUMBER(AK5), IF(AM5=$H5,IF(AK5=$F5,IF(AL5=$G5,2,1),1),0))</f>
        <v>0</v>
      </c>
      <c r="AO5" s="48"/>
      <c r="AP5" s="49"/>
      <c r="AQ5" s="50" t="str">
        <f t="shared" si="10"/>
        <v>X</v>
      </c>
      <c r="AR5" s="51" t="b">
        <f>IF(ISNUMBER(AO5), IF(AQ5=$H5,IF(AO5=$F5,IF(AP5=$G5,2,1),1),0))</f>
        <v>0</v>
      </c>
      <c r="AS5" s="48"/>
      <c r="AT5" s="49"/>
      <c r="AU5" s="50" t="str">
        <f t="shared" si="11"/>
        <v>X</v>
      </c>
      <c r="AV5" s="51" t="b">
        <f>IF(ISNUMBER(AS5), IF(AU5=$H5,IF(AS5=$F5,IF(AT5=$G5,2,1),1),0))</f>
        <v>0</v>
      </c>
      <c r="AW5" s="48"/>
      <c r="AX5" s="49"/>
      <c r="AY5" s="50" t="str">
        <f t="shared" si="12"/>
        <v>X</v>
      </c>
      <c r="AZ5" s="51" t="b">
        <f>IF(ISNUMBER(AW5), IF(AY5=$H5,IF(AW5=$F5,IF(AX5=$G5,2,1),1),0))</f>
        <v>0</v>
      </c>
      <c r="BA5" s="48"/>
      <c r="BB5" s="49"/>
      <c r="BC5" s="50" t="str">
        <f t="shared" si="13"/>
        <v>X</v>
      </c>
      <c r="BD5" s="51" t="b">
        <f>IF(ISNUMBER(BA5), IF(BC5=$H5,IF(BA5=$F5,IF(BB5=$G5,2,1),1),0))</f>
        <v>0</v>
      </c>
      <c r="BE5" s="48"/>
      <c r="BF5" s="49"/>
      <c r="BG5" s="50" t="str">
        <f t="shared" si="14"/>
        <v>X</v>
      </c>
      <c r="BH5" s="51" t="b">
        <f>IF(ISNUMBER(BE5), IF(BG5=$H5,IF(BE5=$F5,IF(BF5=$G5,2,1),1),0))</f>
        <v>0</v>
      </c>
      <c r="BI5" s="48"/>
      <c r="BJ5" s="49"/>
      <c r="BK5" s="50" t="str">
        <f t="shared" si="15"/>
        <v>X</v>
      </c>
      <c r="BL5" s="51" t="b">
        <f>IF(ISNUMBER(BI5), IF(BK5=$H5,IF(BI5=$F5,IF(BJ5=$G5,2,1),1),0))</f>
        <v>0</v>
      </c>
      <c r="BM5" s="48"/>
      <c r="BN5" s="49"/>
      <c r="BO5" s="50" t="str">
        <f t="shared" si="16"/>
        <v>X</v>
      </c>
      <c r="BP5" s="51" t="b">
        <f>IF(ISNUMBER(BM5), IF(BO5=$H5,IF(BM5=$F5,IF(BN5=$G5,2,1),1),0))</f>
        <v>0</v>
      </c>
      <c r="BQ5" s="48"/>
      <c r="BR5" s="49"/>
      <c r="BS5" s="50" t="str">
        <f t="shared" si="17"/>
        <v>X</v>
      </c>
      <c r="BT5" s="51" t="b">
        <f>IF(ISNUMBER(BQ5), IF(BS5=$H5,IF(BQ5=$F5,IF(BR5=$G5,2,1),1),0))</f>
        <v>0</v>
      </c>
      <c r="BU5" s="48"/>
      <c r="BV5" s="49"/>
      <c r="BW5" s="50" t="str">
        <f t="shared" si="18"/>
        <v>X</v>
      </c>
      <c r="BX5" s="51" t="b">
        <f>IF(ISNUMBER(BU5), IF(BW5=$H5,IF(BU5=$F5,IF(BV5=$G5,2,1),1),0))</f>
        <v>0</v>
      </c>
      <c r="BY5" s="48"/>
      <c r="BZ5" s="49"/>
      <c r="CA5" s="50" t="str">
        <f t="shared" si="19"/>
        <v>X</v>
      </c>
      <c r="CB5" s="51" t="b">
        <f>IF(ISNUMBER(BY5), IF(CA5=$H5,IF(BY5=$F5,IF(BZ5=$G5,2,1),1),0))</f>
        <v>0</v>
      </c>
      <c r="CC5" s="48"/>
      <c r="CD5" s="49"/>
      <c r="CE5" s="50" t="str">
        <f t="shared" si="20"/>
        <v>X</v>
      </c>
      <c r="CF5" s="51" t="b">
        <f>IF(ISNUMBER(CC5), IF(CE5=$H5,IF(CC5=$F5,IF(CD5=$G5,2,1),1),0))</f>
        <v>0</v>
      </c>
      <c r="CG5" s="48"/>
      <c r="CH5" s="49"/>
      <c r="CI5" s="50" t="str">
        <f t="shared" si="21"/>
        <v>X</v>
      </c>
      <c r="CJ5" s="51" t="b">
        <f>IF(ISNUMBER(CG5), IF(CI5=$H5,IF(CG5=$F5,IF(CH5=$G5,2,1),1),0))</f>
        <v>0</v>
      </c>
      <c r="CK5" s="48"/>
      <c r="CL5" s="49"/>
      <c r="CM5" s="50" t="str">
        <f t="shared" si="22"/>
        <v>X</v>
      </c>
      <c r="CN5" s="51" t="b">
        <f>IF(ISNUMBER(CK5), IF(CM5=$H5,IF(CK5=$F5,IF(CL5=$G5,2,1),1),0))</f>
        <v>0</v>
      </c>
      <c r="CO5" s="48"/>
      <c r="CP5" s="49"/>
      <c r="CQ5" s="50" t="str">
        <f t="shared" si="23"/>
        <v>X</v>
      </c>
      <c r="CR5" s="51" t="b">
        <f>IF(ISNUMBER(CO5), IF(CQ5=$H5,IF(CO5=$F5,IF(CP5=$G5,2,1),1),0))</f>
        <v>0</v>
      </c>
      <c r="CS5" s="48"/>
      <c r="CT5" s="49"/>
      <c r="CU5" s="50" t="str">
        <f t="shared" si="24"/>
        <v>X</v>
      </c>
      <c r="CV5" s="51" t="b">
        <f>IF(ISNUMBER(CS5), IF(CU5=$H5,IF(CS5=$F5,IF(CT5=$G5,2,1),1),0))</f>
        <v>0</v>
      </c>
      <c r="CW5" s="48"/>
      <c r="CX5" s="49"/>
      <c r="CY5" s="50" t="str">
        <f t="shared" si="25"/>
        <v>X</v>
      </c>
      <c r="CZ5" s="51" t="b">
        <f>IF(ISNUMBER(CW5), IF(CY5=$H5,IF(CW5=$F5,IF(CX5=$G5,2,1),1),0))</f>
        <v>0</v>
      </c>
      <c r="DA5" s="48"/>
      <c r="DB5" s="49"/>
      <c r="DC5" s="50" t="str">
        <f t="shared" si="26"/>
        <v>X</v>
      </c>
      <c r="DD5" s="51" t="b">
        <f>IF(ISNUMBER(DA5), IF(DC5=$H5,IF(DA5=$F5,IF(DB5=$G5,2,1),1),0))</f>
        <v>0</v>
      </c>
      <c r="DE5" s="48"/>
      <c r="DF5" s="49"/>
      <c r="DG5" s="50" t="str">
        <f t="shared" si="27"/>
        <v>X</v>
      </c>
      <c r="DH5" s="51" t="b">
        <f>IF(ISNUMBER(DE5), IF(DG5=$H5,IF(DE5=$F5,IF(DF5=$G5,2,1),1),0))</f>
        <v>0</v>
      </c>
      <c r="DI5" s="48"/>
      <c r="DJ5" s="49"/>
      <c r="DK5" s="50" t="str">
        <f t="shared" si="28"/>
        <v>X</v>
      </c>
      <c r="DL5" s="51" t="b">
        <f>IF(ISNUMBER(DI5), IF(DK5=$H5,IF(DI5=$F5,IF(DJ5=$G5,2,1),1),0))</f>
        <v>0</v>
      </c>
      <c r="DM5" s="48"/>
      <c r="DN5" s="49"/>
      <c r="DO5" s="50" t="str">
        <f t="shared" si="29"/>
        <v>X</v>
      </c>
      <c r="DP5" s="51" t="b">
        <f>IF(ISNUMBER(DM5), IF(DO5=$H5,IF(DM5=$F5,IF(DN5=$G5,2,1),1),0))</f>
        <v>0</v>
      </c>
    </row>
    <row r="6" spans="1:120" ht="13" customHeight="1" thickBot="1">
      <c r="A6" s="41"/>
      <c r="B6" s="42"/>
      <c r="C6" s="43"/>
      <c r="D6" s="44" t="s">
        <v>143</v>
      </c>
      <c r="E6" s="33">
        <f t="shared" si="0"/>
        <v>0</v>
      </c>
      <c r="F6" s="45"/>
      <c r="G6" s="46"/>
      <c r="H6" s="47" t="b">
        <f t="shared" si="1"/>
        <v>0</v>
      </c>
      <c r="I6" s="48"/>
      <c r="J6" s="49"/>
      <c r="K6" s="50" t="str">
        <f t="shared" si="2"/>
        <v>X</v>
      </c>
      <c r="L6" s="51" t="b">
        <f>IF(ISNUMBER(I6), IF(K6=$H6,IF(I6=$F6,IF(J6=$G6,2,1),1),0))</f>
        <v>0</v>
      </c>
      <c r="M6" s="48"/>
      <c r="N6" s="49"/>
      <c r="O6" s="50" t="str">
        <f t="shared" si="3"/>
        <v>X</v>
      </c>
      <c r="P6" s="51" t="b">
        <f>IF(ISNUMBER(M6), IF(O6=$H6,IF(M6=$F6,IF(N6=$G6,2,1),1),0))</f>
        <v>0</v>
      </c>
      <c r="Q6" s="48"/>
      <c r="R6" s="49"/>
      <c r="S6" s="50" t="str">
        <f t="shared" si="4"/>
        <v>X</v>
      </c>
      <c r="T6" s="51" t="b">
        <f>IF(ISNUMBER(Q6), IF(S6=$H6,IF(Q6=$F6,IF(R6=$G6,2,1),1),0))</f>
        <v>0</v>
      </c>
      <c r="U6" s="48"/>
      <c r="V6" s="49"/>
      <c r="W6" s="50" t="str">
        <f t="shared" si="5"/>
        <v>X</v>
      </c>
      <c r="X6" s="51" t="b">
        <f>IF(ISNUMBER(U6), IF(W6=$H6,IF(U6=$F6,IF(V6=$G6,2,1),1),0))</f>
        <v>0</v>
      </c>
      <c r="Y6" s="48"/>
      <c r="Z6" s="49"/>
      <c r="AA6" s="50" t="str">
        <f t="shared" si="6"/>
        <v>X</v>
      </c>
      <c r="AB6" s="51" t="b">
        <f>IF(ISNUMBER(Y6), IF(AA6=$H6,IF(Y6=$F6,IF(Z6=$G6,2,1),1),0))</f>
        <v>0</v>
      </c>
      <c r="AC6" s="48"/>
      <c r="AD6" s="49"/>
      <c r="AE6" s="50" t="str">
        <f t="shared" si="7"/>
        <v>X</v>
      </c>
      <c r="AF6" s="51" t="b">
        <f>IF(ISNUMBER(AC6), IF(AE6=$H6,IF(AC6=$F6,IF(AD6=$G6,2,1),1),0))</f>
        <v>0</v>
      </c>
      <c r="AG6" s="48"/>
      <c r="AH6" s="49"/>
      <c r="AI6" s="50" t="str">
        <f t="shared" si="8"/>
        <v>X</v>
      </c>
      <c r="AJ6" s="51" t="b">
        <f>IF(ISNUMBER(AG6), IF(AI6=$H6,IF(AG6=$F6,IF(AH6=$G6,2,1),1),0))</f>
        <v>0</v>
      </c>
      <c r="AK6" s="48"/>
      <c r="AL6" s="49"/>
      <c r="AM6" s="50" t="str">
        <f t="shared" si="9"/>
        <v>X</v>
      </c>
      <c r="AN6" s="51" t="b">
        <f>IF(ISNUMBER(AK6), IF(AM6=$H6,IF(AK6=$F6,IF(AL6=$G6,2,1),1),0))</f>
        <v>0</v>
      </c>
      <c r="AO6" s="48"/>
      <c r="AP6" s="49"/>
      <c r="AQ6" s="50" t="str">
        <f t="shared" si="10"/>
        <v>X</v>
      </c>
      <c r="AR6" s="51" t="b">
        <f>IF(ISNUMBER(AO6), IF(AQ6=$H6,IF(AO6=$F6,IF(AP6=$G6,2,1),1),0))</f>
        <v>0</v>
      </c>
      <c r="AS6" s="48"/>
      <c r="AT6" s="49"/>
      <c r="AU6" s="50" t="str">
        <f t="shared" si="11"/>
        <v>X</v>
      </c>
      <c r="AV6" s="51" t="b">
        <f>IF(ISNUMBER(AS6), IF(AU6=$H6,IF(AS6=$F6,IF(AT6=$G6,2,1),1),0))</f>
        <v>0</v>
      </c>
      <c r="AW6" s="48"/>
      <c r="AX6" s="49"/>
      <c r="AY6" s="50" t="str">
        <f t="shared" si="12"/>
        <v>X</v>
      </c>
      <c r="AZ6" s="51" t="b">
        <f>IF(ISNUMBER(AW6), IF(AY6=$H6,IF(AW6=$F6,IF(AX6=$G6,2,1),1),0))</f>
        <v>0</v>
      </c>
      <c r="BA6" s="48"/>
      <c r="BB6" s="49"/>
      <c r="BC6" s="50" t="str">
        <f t="shared" si="13"/>
        <v>X</v>
      </c>
      <c r="BD6" s="51" t="b">
        <f>IF(ISNUMBER(BA6), IF(BC6=$H6,IF(BA6=$F6,IF(BB6=$G6,2,1),1),0))</f>
        <v>0</v>
      </c>
      <c r="BE6" s="48"/>
      <c r="BF6" s="49"/>
      <c r="BG6" s="50" t="str">
        <f t="shared" si="14"/>
        <v>X</v>
      </c>
      <c r="BH6" s="51" t="b">
        <f>IF(ISNUMBER(BE6), IF(BG6=$H6,IF(BE6=$F6,IF(BF6=$G6,2,1),1),0))</f>
        <v>0</v>
      </c>
      <c r="BI6" s="48"/>
      <c r="BJ6" s="49"/>
      <c r="BK6" s="50" t="str">
        <f t="shared" si="15"/>
        <v>X</v>
      </c>
      <c r="BL6" s="51" t="b">
        <f>IF(ISNUMBER(BI6), IF(BK6=$H6,IF(BI6=$F6,IF(BJ6=$G6,2,1),1),0))</f>
        <v>0</v>
      </c>
      <c r="BM6" s="48"/>
      <c r="BN6" s="49"/>
      <c r="BO6" s="50" t="str">
        <f t="shared" si="16"/>
        <v>X</v>
      </c>
      <c r="BP6" s="51" t="b">
        <f>IF(ISNUMBER(BM6), IF(BO6=$H6,IF(BM6=$F6,IF(BN6=$G6,2,1),1),0))</f>
        <v>0</v>
      </c>
      <c r="BQ6" s="48"/>
      <c r="BR6" s="49"/>
      <c r="BS6" s="50" t="str">
        <f t="shared" si="17"/>
        <v>X</v>
      </c>
      <c r="BT6" s="51" t="b">
        <f>IF(ISNUMBER(BQ6), IF(BS6=$H6,IF(BQ6=$F6,IF(BR6=$G6,2,1),1),0))</f>
        <v>0</v>
      </c>
      <c r="BU6" s="48"/>
      <c r="BV6" s="49"/>
      <c r="BW6" s="50" t="str">
        <f t="shared" si="18"/>
        <v>X</v>
      </c>
      <c r="BX6" s="51" t="b">
        <f>IF(ISNUMBER(BU6), IF(BW6=$H6,IF(BU6=$F6,IF(BV6=$G6,2,1),1),0))</f>
        <v>0</v>
      </c>
      <c r="BY6" s="48"/>
      <c r="BZ6" s="49"/>
      <c r="CA6" s="50" t="str">
        <f t="shared" si="19"/>
        <v>X</v>
      </c>
      <c r="CB6" s="51" t="b">
        <f>IF(ISNUMBER(BY6), IF(CA6=$H6,IF(BY6=$F6,IF(BZ6=$G6,2,1),1),0))</f>
        <v>0</v>
      </c>
      <c r="CC6" s="48"/>
      <c r="CD6" s="49"/>
      <c r="CE6" s="50" t="str">
        <f t="shared" si="20"/>
        <v>X</v>
      </c>
      <c r="CF6" s="51" t="b">
        <f>IF(ISNUMBER(CC6), IF(CE6=$H6,IF(CC6=$F6,IF(CD6=$G6,2,1),1),0))</f>
        <v>0</v>
      </c>
      <c r="CG6" s="48"/>
      <c r="CH6" s="49"/>
      <c r="CI6" s="50" t="str">
        <f t="shared" si="21"/>
        <v>X</v>
      </c>
      <c r="CJ6" s="51" t="b">
        <f>IF(ISNUMBER(CG6), IF(CI6=$H6,IF(CG6=$F6,IF(CH6=$G6,2,1),1),0))</f>
        <v>0</v>
      </c>
      <c r="CK6" s="48"/>
      <c r="CL6" s="49"/>
      <c r="CM6" s="50" t="str">
        <f t="shared" si="22"/>
        <v>X</v>
      </c>
      <c r="CN6" s="51" t="b">
        <f>IF(ISNUMBER(CK6), IF(CM6=$H6,IF(CK6=$F6,IF(CL6=$G6,2,1),1),0))</f>
        <v>0</v>
      </c>
      <c r="CO6" s="48"/>
      <c r="CP6" s="49"/>
      <c r="CQ6" s="50" t="str">
        <f t="shared" si="23"/>
        <v>X</v>
      </c>
      <c r="CR6" s="51" t="b">
        <f>IF(ISNUMBER(CO6), IF(CQ6=$H6,IF(CO6=$F6,IF(CP6=$G6,2,1),1),0))</f>
        <v>0</v>
      </c>
      <c r="CS6" s="48"/>
      <c r="CT6" s="49"/>
      <c r="CU6" s="50" t="str">
        <f t="shared" si="24"/>
        <v>X</v>
      </c>
      <c r="CV6" s="51" t="b">
        <f>IF(ISNUMBER(CS6), IF(CU6=$H6,IF(CS6=$F6,IF(CT6=$G6,2,1),1),0))</f>
        <v>0</v>
      </c>
      <c r="CW6" s="48"/>
      <c r="CX6" s="49"/>
      <c r="CY6" s="50" t="str">
        <f t="shared" si="25"/>
        <v>X</v>
      </c>
      <c r="CZ6" s="51" t="b">
        <f>IF(ISNUMBER(CW6), IF(CY6=$H6,IF(CW6=$F6,IF(CX6=$G6,2,1),1),0))</f>
        <v>0</v>
      </c>
      <c r="DA6" s="48"/>
      <c r="DB6" s="49"/>
      <c r="DC6" s="50" t="str">
        <f t="shared" si="26"/>
        <v>X</v>
      </c>
      <c r="DD6" s="51" t="b">
        <f>IF(ISNUMBER(DA6), IF(DC6=$H6,IF(DA6=$F6,IF(DB6=$G6,2,1),1),0))</f>
        <v>0</v>
      </c>
      <c r="DE6" s="48"/>
      <c r="DF6" s="49"/>
      <c r="DG6" s="50" t="str">
        <f t="shared" si="27"/>
        <v>X</v>
      </c>
      <c r="DH6" s="51" t="b">
        <f>IF(ISNUMBER(DE6), IF(DG6=$H6,IF(DE6=$F6,IF(DF6=$G6,2,1),1),0))</f>
        <v>0</v>
      </c>
      <c r="DI6" s="48"/>
      <c r="DJ6" s="49"/>
      <c r="DK6" s="50" t="str">
        <f t="shared" si="28"/>
        <v>X</v>
      </c>
      <c r="DL6" s="51" t="b">
        <f>IF(ISNUMBER(DI6), IF(DK6=$H6,IF(DI6=$F6,IF(DJ6=$G6,2,1),1),0))</f>
        <v>0</v>
      </c>
      <c r="DM6" s="48"/>
      <c r="DN6" s="49"/>
      <c r="DO6" s="50" t="str">
        <f t="shared" si="29"/>
        <v>X</v>
      </c>
      <c r="DP6" s="51" t="b">
        <f>IF(ISNUMBER(DM6), IF(DO6=$H6,IF(DM6=$F6,IF(DN6=$G6,2,1),1),0))</f>
        <v>0</v>
      </c>
    </row>
    <row r="7" spans="1:120" s="25" customFormat="1" ht="13" customHeight="1" thickBot="1">
      <c r="A7" s="52"/>
      <c r="B7" s="53"/>
      <c r="C7" s="54"/>
      <c r="D7" s="55" t="s">
        <v>144</v>
      </c>
      <c r="E7" s="33">
        <f t="shared" si="0"/>
        <v>0</v>
      </c>
      <c r="F7" s="56"/>
      <c r="G7" s="56"/>
      <c r="H7" s="57" t="b">
        <f t="shared" si="1"/>
        <v>0</v>
      </c>
      <c r="I7" s="58">
        <f>SUM(I4:I6)</f>
        <v>0</v>
      </c>
      <c r="J7" s="59">
        <f>SUM(J4:J6)</f>
        <v>0</v>
      </c>
      <c r="K7" s="59" t="str">
        <f t="shared" si="2"/>
        <v>X</v>
      </c>
      <c r="L7" s="60">
        <f>IF($H7=K7,SUM(L4:L6)+1,SUM(L4:L6))</f>
        <v>0</v>
      </c>
      <c r="M7" s="58">
        <f>SUM(M4:M6)</f>
        <v>0</v>
      </c>
      <c r="N7" s="59">
        <f>SUM(N4:N6)</f>
        <v>0</v>
      </c>
      <c r="O7" s="59" t="str">
        <f t="shared" si="3"/>
        <v>X</v>
      </c>
      <c r="P7" s="60">
        <f>IF($H7=O7,SUM(P4:P6)+1,SUM(P4:P6))</f>
        <v>0</v>
      </c>
      <c r="Q7" s="58">
        <f>SUM(Q4:Q6)</f>
        <v>0</v>
      </c>
      <c r="R7" s="59">
        <f>SUM(R4:R6)</f>
        <v>0</v>
      </c>
      <c r="S7" s="59" t="str">
        <f t="shared" si="4"/>
        <v>X</v>
      </c>
      <c r="T7" s="60">
        <f>IF($H7=S7,SUM(T4:T6)+1,SUM(T4:T6))</f>
        <v>0</v>
      </c>
      <c r="U7" s="58">
        <f>SUM(U4:U6)</f>
        <v>0</v>
      </c>
      <c r="V7" s="59">
        <f>SUM(V4:V6)</f>
        <v>0</v>
      </c>
      <c r="W7" s="59" t="str">
        <f t="shared" si="5"/>
        <v>X</v>
      </c>
      <c r="X7" s="60">
        <f>IF($H7=W7,SUM(X4:X6)+1,SUM(X4:X6))</f>
        <v>0</v>
      </c>
      <c r="Y7" s="58">
        <f>SUM(Y4:Y6)</f>
        <v>0</v>
      </c>
      <c r="Z7" s="59">
        <f>SUM(Z4:Z6)</f>
        <v>0</v>
      </c>
      <c r="AA7" s="59" t="str">
        <f t="shared" si="6"/>
        <v>X</v>
      </c>
      <c r="AB7" s="60">
        <f>IF($H7=AA7,SUM(AB4:AB6)+1,SUM(AB4:AB6))</f>
        <v>0</v>
      </c>
      <c r="AC7" s="58">
        <f>SUM(AC4:AC6)</f>
        <v>0</v>
      </c>
      <c r="AD7" s="59">
        <f>SUM(AD4:AD6)</f>
        <v>0</v>
      </c>
      <c r="AE7" s="59" t="str">
        <f t="shared" si="7"/>
        <v>X</v>
      </c>
      <c r="AF7" s="60">
        <f>IF($H7=AE7,SUM(AF4:AF6)+1,SUM(AF4:AF6))</f>
        <v>0</v>
      </c>
      <c r="AG7" s="58">
        <f>SUM(AG4:AG6)</f>
        <v>0</v>
      </c>
      <c r="AH7" s="59">
        <f>SUM(AH4:AH6)</f>
        <v>0</v>
      </c>
      <c r="AI7" s="59" t="str">
        <f t="shared" si="8"/>
        <v>X</v>
      </c>
      <c r="AJ7" s="60">
        <f>IF($H7=AI7,SUM(AJ4:AJ6)+1,SUM(AJ4:AJ6))</f>
        <v>0</v>
      </c>
      <c r="AK7" s="58">
        <f>SUM(AK4:AK6)</f>
        <v>0</v>
      </c>
      <c r="AL7" s="59">
        <f>SUM(AL4:AL6)</f>
        <v>0</v>
      </c>
      <c r="AM7" s="59" t="str">
        <f t="shared" si="9"/>
        <v>X</v>
      </c>
      <c r="AN7" s="60">
        <f>IF($H7=AM7,SUM(AN4:AN6)+1,SUM(AN4:AN6))</f>
        <v>0</v>
      </c>
      <c r="AO7" s="58">
        <f>SUM(AO4:AO6)</f>
        <v>0</v>
      </c>
      <c r="AP7" s="59">
        <f>SUM(AP4:AP6)</f>
        <v>0</v>
      </c>
      <c r="AQ7" s="59" t="str">
        <f t="shared" si="10"/>
        <v>X</v>
      </c>
      <c r="AR7" s="60">
        <f>IF($H7=AQ7,SUM(AR4:AR6)+1,SUM(AR4:AR6))</f>
        <v>0</v>
      </c>
      <c r="AS7" s="58">
        <f>SUM(AS4:AS6)</f>
        <v>0</v>
      </c>
      <c r="AT7" s="59">
        <f>SUM(AT4:AT6)</f>
        <v>0</v>
      </c>
      <c r="AU7" s="59" t="str">
        <f t="shared" si="11"/>
        <v>X</v>
      </c>
      <c r="AV7" s="60">
        <f>IF($H7=AU7,SUM(AV4:AV6)+1,SUM(AV4:AV6))</f>
        <v>0</v>
      </c>
      <c r="AW7" s="58">
        <f>SUM(AW4:AW6)</f>
        <v>0</v>
      </c>
      <c r="AX7" s="59">
        <f>SUM(AX4:AX6)</f>
        <v>0</v>
      </c>
      <c r="AY7" s="59" t="str">
        <f t="shared" si="12"/>
        <v>X</v>
      </c>
      <c r="AZ7" s="60">
        <f>IF($H7=AY7,SUM(AZ4:AZ6)+1,SUM(AZ4:AZ6))</f>
        <v>0</v>
      </c>
      <c r="BA7" s="58">
        <f>SUM(BA4:BA6)</f>
        <v>0</v>
      </c>
      <c r="BB7" s="59">
        <f>SUM(BB4:BB6)</f>
        <v>0</v>
      </c>
      <c r="BC7" s="59" t="str">
        <f t="shared" si="13"/>
        <v>X</v>
      </c>
      <c r="BD7" s="60">
        <f>IF($H7=BC7,SUM(BD4:BD6)+1,SUM(BD4:BD6))</f>
        <v>0</v>
      </c>
      <c r="BE7" s="58">
        <f>SUM(BE4:BE6)</f>
        <v>0</v>
      </c>
      <c r="BF7" s="59">
        <f>SUM(BF4:BF6)</f>
        <v>0</v>
      </c>
      <c r="BG7" s="59" t="str">
        <f t="shared" si="14"/>
        <v>X</v>
      </c>
      <c r="BH7" s="60">
        <f>IF($H7=BG7,SUM(BH4:BH6)+1,SUM(BH4:BH6))</f>
        <v>0</v>
      </c>
      <c r="BI7" s="58">
        <f>SUM(BI4:BI6)</f>
        <v>0</v>
      </c>
      <c r="BJ7" s="59">
        <f>SUM(BJ4:BJ6)</f>
        <v>0</v>
      </c>
      <c r="BK7" s="59" t="str">
        <f t="shared" si="15"/>
        <v>X</v>
      </c>
      <c r="BL7" s="60">
        <f>IF($H7=BK7,SUM(BL4:BL6)+1,SUM(BL4:BL6))</f>
        <v>0</v>
      </c>
      <c r="BM7" s="58">
        <f>SUM(BM4:BM6)</f>
        <v>0</v>
      </c>
      <c r="BN7" s="59">
        <f>SUM(BN4:BN6)</f>
        <v>0</v>
      </c>
      <c r="BO7" s="59" t="str">
        <f t="shared" si="16"/>
        <v>X</v>
      </c>
      <c r="BP7" s="60">
        <f>IF($H7=BO7,SUM(BP4:BP6)+1,SUM(BP4:BP6))</f>
        <v>0</v>
      </c>
      <c r="BQ7" s="58">
        <f>SUM(BQ4:BQ6)</f>
        <v>0</v>
      </c>
      <c r="BR7" s="59">
        <f>SUM(BR4:BR6)</f>
        <v>0</v>
      </c>
      <c r="BS7" s="59" t="str">
        <f t="shared" si="17"/>
        <v>X</v>
      </c>
      <c r="BT7" s="60">
        <f>IF($H7=BS7,SUM(BT4:BT6)+1,SUM(BT4:BT6))</f>
        <v>0</v>
      </c>
      <c r="BU7" s="58">
        <f>SUM(BU4:BU6)</f>
        <v>0</v>
      </c>
      <c r="BV7" s="59">
        <f>SUM(BV4:BV6)</f>
        <v>0</v>
      </c>
      <c r="BW7" s="59" t="str">
        <f t="shared" si="18"/>
        <v>X</v>
      </c>
      <c r="BX7" s="60">
        <f>IF($H7=BW7,SUM(BX4:BX6)+1,SUM(BX4:BX6))</f>
        <v>0</v>
      </c>
      <c r="BY7" s="58">
        <f>SUM(BY4:BY6)</f>
        <v>0</v>
      </c>
      <c r="BZ7" s="59">
        <f>SUM(BZ4:BZ6)</f>
        <v>0</v>
      </c>
      <c r="CA7" s="59" t="str">
        <f t="shared" si="19"/>
        <v>X</v>
      </c>
      <c r="CB7" s="60">
        <f>IF($H7=CA7,SUM(CB4:CB6)+1,SUM(CB4:CB6))</f>
        <v>0</v>
      </c>
      <c r="CC7" s="58">
        <f>SUM(CC4:CC6)</f>
        <v>0</v>
      </c>
      <c r="CD7" s="59">
        <f>SUM(CD4:CD6)</f>
        <v>0</v>
      </c>
      <c r="CE7" s="59" t="str">
        <f t="shared" si="20"/>
        <v>X</v>
      </c>
      <c r="CF7" s="60">
        <f>IF($H7=CE7,SUM(CF4:CF6)+1,SUM(CF4:CF6))</f>
        <v>0</v>
      </c>
      <c r="CG7" s="58">
        <f>SUM(CG4:CG6)</f>
        <v>0</v>
      </c>
      <c r="CH7" s="59">
        <f>SUM(CH4:CH6)</f>
        <v>0</v>
      </c>
      <c r="CI7" s="59" t="str">
        <f t="shared" si="21"/>
        <v>X</v>
      </c>
      <c r="CJ7" s="60">
        <f>IF($H7=CI7,SUM(CJ4:CJ6)+1,SUM(CJ4:CJ6))</f>
        <v>0</v>
      </c>
      <c r="CK7" s="58">
        <f>SUM(CK4:CK6)</f>
        <v>0</v>
      </c>
      <c r="CL7" s="59">
        <f>SUM(CL4:CL6)</f>
        <v>0</v>
      </c>
      <c r="CM7" s="59" t="str">
        <f t="shared" si="22"/>
        <v>X</v>
      </c>
      <c r="CN7" s="60">
        <f>IF($H7=CM7,SUM(CN4:CN6)+1,SUM(CN4:CN6))</f>
        <v>0</v>
      </c>
      <c r="CO7" s="58">
        <f>SUM(CO4:CO6)</f>
        <v>0</v>
      </c>
      <c r="CP7" s="59">
        <f>SUM(CP4:CP6)</f>
        <v>0</v>
      </c>
      <c r="CQ7" s="59" t="str">
        <f t="shared" si="23"/>
        <v>X</v>
      </c>
      <c r="CR7" s="60">
        <f>IF($H7=CQ7,SUM(CR4:CR6)+1,SUM(CR4:CR6))</f>
        <v>0</v>
      </c>
      <c r="CS7" s="58">
        <f>SUM(CS4:CS6)</f>
        <v>0</v>
      </c>
      <c r="CT7" s="59">
        <f>SUM(CT4:CT6)</f>
        <v>0</v>
      </c>
      <c r="CU7" s="59" t="str">
        <f t="shared" si="24"/>
        <v>X</v>
      </c>
      <c r="CV7" s="60">
        <f>IF($H7=CU7,SUM(CV4:CV6)+1,SUM(CV4:CV6))</f>
        <v>0</v>
      </c>
      <c r="CW7" s="58">
        <f>SUM(CW4:CW6)</f>
        <v>0</v>
      </c>
      <c r="CX7" s="59">
        <f>SUM(CX4:CX6)</f>
        <v>0</v>
      </c>
      <c r="CY7" s="59" t="str">
        <f t="shared" si="25"/>
        <v>X</v>
      </c>
      <c r="CZ7" s="60">
        <f>IF($H7=CY7,SUM(CZ4:CZ6)+1,SUM(CZ4:CZ6))</f>
        <v>0</v>
      </c>
      <c r="DA7" s="58">
        <f>SUM(DA4:DA6)</f>
        <v>0</v>
      </c>
      <c r="DB7" s="59">
        <f>SUM(DB4:DB6)</f>
        <v>0</v>
      </c>
      <c r="DC7" s="59" t="str">
        <f t="shared" si="26"/>
        <v>X</v>
      </c>
      <c r="DD7" s="60">
        <f>IF($H7=DC7,SUM(DD4:DD6)+1,SUM(DD4:DD6))</f>
        <v>0</v>
      </c>
      <c r="DE7" s="58">
        <f>SUM(DE4:DE6)</f>
        <v>0</v>
      </c>
      <c r="DF7" s="59">
        <f>SUM(DF4:DF6)</f>
        <v>0</v>
      </c>
      <c r="DG7" s="59" t="str">
        <f t="shared" si="27"/>
        <v>X</v>
      </c>
      <c r="DH7" s="60">
        <f>IF($H7=DG7,SUM(DH4:DH6)+1,SUM(DH4:DH6))</f>
        <v>0</v>
      </c>
      <c r="DI7" s="58">
        <f>SUM(DI4:DI6)</f>
        <v>0</v>
      </c>
      <c r="DJ7" s="59">
        <f>SUM(DJ4:DJ6)</f>
        <v>0</v>
      </c>
      <c r="DK7" s="59" t="str">
        <f t="shared" si="28"/>
        <v>X</v>
      </c>
      <c r="DL7" s="60">
        <f>IF($H7=DK7,SUM(DL4:DL6)+1,SUM(DL4:DL6))</f>
        <v>0</v>
      </c>
      <c r="DM7" s="58">
        <f>SUM(DM4:DM6)</f>
        <v>0</v>
      </c>
      <c r="DN7" s="59">
        <f>SUM(DN4:DN6)</f>
        <v>0</v>
      </c>
      <c r="DO7" s="59" t="str">
        <f t="shared" si="29"/>
        <v>X</v>
      </c>
      <c r="DP7" s="60">
        <f>IF($H7=DO7,SUM(DP4:DP6)+1,SUM(DP4:DP6))</f>
        <v>0</v>
      </c>
    </row>
    <row r="8" spans="1:120" ht="14" customHeight="1" thickBot="1">
      <c r="A8" s="113">
        <f>A4</f>
        <v>43436</v>
      </c>
      <c r="B8" s="30" t="s">
        <v>140</v>
      </c>
      <c r="C8" s="127"/>
      <c r="D8" s="32" t="s">
        <v>141</v>
      </c>
      <c r="E8" s="33">
        <f t="shared" si="0"/>
        <v>0</v>
      </c>
      <c r="F8" s="34"/>
      <c r="G8" s="35"/>
      <c r="H8" s="36" t="b">
        <f t="shared" si="1"/>
        <v>0</v>
      </c>
      <c r="I8" s="37"/>
      <c r="J8" s="38"/>
      <c r="K8" s="39" t="str">
        <f t="shared" si="2"/>
        <v>X</v>
      </c>
      <c r="L8" s="40" t="b">
        <f>IF(ISNUMBER(I8), IF(K8=$H8,IF(I8=$F8,IF(J8=$G8,IF($F8-$G8&gt;=3,6,IF($G8-$F8&gt;=3,6,IF($F8+$G8&gt;=4,6,5))),3),3),0))</f>
        <v>0</v>
      </c>
      <c r="M8" s="37"/>
      <c r="N8" s="38"/>
      <c r="O8" s="39" t="str">
        <f t="shared" si="3"/>
        <v>X</v>
      </c>
      <c r="P8" s="40" t="b">
        <f>IF(ISNUMBER(M8), IF(O8=$H8,IF(M8=$F8,IF(N8=$G8,IF($F8-$G8&gt;=3,6,IF($G8-$F8&gt;=3,6,IF($F8+$G8&gt;=4,6,5))),3),3),0))</f>
        <v>0</v>
      </c>
      <c r="Q8" s="37"/>
      <c r="R8" s="38"/>
      <c r="S8" s="39" t="str">
        <f t="shared" si="4"/>
        <v>X</v>
      </c>
      <c r="T8" s="40" t="b">
        <f>IF(ISNUMBER(Q8), IF(S8=$H8,IF(Q8=$F8,IF(R8=$G8,IF($F8-$G8&gt;=3,6,IF($G8-$F8&gt;=3,6,IF($F8+$G8&gt;=4,6,5))),3),3),0))</f>
        <v>0</v>
      </c>
      <c r="U8" s="37"/>
      <c r="V8" s="38"/>
      <c r="W8" s="39" t="str">
        <f t="shared" si="5"/>
        <v>X</v>
      </c>
      <c r="X8" s="40" t="b">
        <f>IF(ISNUMBER(U8), IF(W8=$H8,IF(U8=$F8,IF(V8=$G8,IF($F8-$G8&gt;=3,6,IF($G8-$F8&gt;=3,6,IF($F8+$G8&gt;=4,6,5))),3),3),0))</f>
        <v>0</v>
      </c>
      <c r="Y8" s="37"/>
      <c r="Z8" s="38"/>
      <c r="AA8" s="39" t="str">
        <f t="shared" si="6"/>
        <v>X</v>
      </c>
      <c r="AB8" s="40" t="b">
        <f>IF(ISNUMBER(Y8), IF(AA8=$H8,IF(Y8=$F8,IF(Z8=$G8,IF($F8-$G8&gt;=3,6,IF($G8-$F8&gt;=3,6,IF($F8+$G8&gt;=4,6,5))),3),3),0))</f>
        <v>0</v>
      </c>
      <c r="AC8" s="37"/>
      <c r="AD8" s="38"/>
      <c r="AE8" s="39" t="str">
        <f t="shared" si="7"/>
        <v>X</v>
      </c>
      <c r="AF8" s="40" t="b">
        <f>IF(ISNUMBER(AC8), IF(AE8=$H8,IF(AC8=$F8,IF(AD8=$G8,IF($F8-$G8&gt;=3,6,IF($G8-$F8&gt;=3,6,IF($F8+$G8&gt;=4,6,5))),3),3),0))</f>
        <v>0</v>
      </c>
      <c r="AG8" s="37"/>
      <c r="AH8" s="38"/>
      <c r="AI8" s="39" t="str">
        <f t="shared" si="8"/>
        <v>X</v>
      </c>
      <c r="AJ8" s="40" t="b">
        <f>IF(ISNUMBER(AG8), IF(AI8=$H8,IF(AG8=$F8,IF(AH8=$G8,IF($F8-$G8&gt;=3,6,IF($G8-$F8&gt;=3,6,IF($F8+$G8&gt;=4,6,5))),3),3),0))</f>
        <v>0</v>
      </c>
      <c r="AK8" s="37"/>
      <c r="AL8" s="38"/>
      <c r="AM8" s="39" t="str">
        <f t="shared" si="9"/>
        <v>X</v>
      </c>
      <c r="AN8" s="40" t="b">
        <f>IF(ISNUMBER(AK8), IF(AM8=$H8,IF(AK8=$F8,IF(AL8=$G8,IF($F8-$G8&gt;=3,6,IF($G8-$F8&gt;=3,6,IF($F8+$G8&gt;=4,6,5))),3),3),0))</f>
        <v>0</v>
      </c>
      <c r="AO8" s="37"/>
      <c r="AP8" s="38"/>
      <c r="AQ8" s="39" t="str">
        <f t="shared" si="10"/>
        <v>X</v>
      </c>
      <c r="AR8" s="40" t="b">
        <f>IF(ISNUMBER(AO8), IF(AQ8=$H8,IF(AO8=$F8,IF(AP8=$G8,IF($F8-$G8&gt;=3,6,IF($G8-$F8&gt;=3,6,IF($F8+$G8&gt;=4,6,5))),3),3),0))</f>
        <v>0</v>
      </c>
      <c r="AS8" s="37"/>
      <c r="AT8" s="38"/>
      <c r="AU8" s="39" t="str">
        <f t="shared" si="11"/>
        <v>X</v>
      </c>
      <c r="AV8" s="40" t="b">
        <f>IF(ISNUMBER(AS8), IF(AU8=$H8,IF(AS8=$F8,IF(AT8=$G8,IF($F8-$G8&gt;=3,6,IF($G8-$F8&gt;=3,6,IF($F8+$G8&gt;=4,6,5))),3),3),0))</f>
        <v>0</v>
      </c>
      <c r="AW8" s="37"/>
      <c r="AX8" s="38"/>
      <c r="AY8" s="39" t="str">
        <f t="shared" si="12"/>
        <v>X</v>
      </c>
      <c r="AZ8" s="40" t="b">
        <f>IF(ISNUMBER(AW8), IF(AY8=$H8,IF(AW8=$F8,IF(AX8=$G8,IF($F8-$G8&gt;=3,6,IF($G8-$F8&gt;=3,6,IF($F8+$G8&gt;=4,6,5))),3),3),0))</f>
        <v>0</v>
      </c>
      <c r="BA8" s="37"/>
      <c r="BB8" s="38"/>
      <c r="BC8" s="39" t="str">
        <f t="shared" si="13"/>
        <v>X</v>
      </c>
      <c r="BD8" s="40" t="b">
        <f>IF(ISNUMBER(BA8), IF(BC8=$H8,IF(BA8=$F8,IF(BB8=$G8,IF($F8-$G8&gt;=3,6,IF($G8-$F8&gt;=3,6,IF($F8+$G8&gt;=4,6,5))),3),3),0))</f>
        <v>0</v>
      </c>
      <c r="BE8" s="37"/>
      <c r="BF8" s="38"/>
      <c r="BG8" s="39" t="str">
        <f t="shared" si="14"/>
        <v>X</v>
      </c>
      <c r="BH8" s="40" t="b">
        <f>IF(ISNUMBER(BE8), IF(BG8=$H8,IF(BE8=$F8,IF(BF8=$G8,IF($F8-$G8&gt;=3,6,IF($G8-$F8&gt;=3,6,IF($F8+$G8&gt;=4,6,5))),3),3),0))</f>
        <v>0</v>
      </c>
      <c r="BI8" s="37"/>
      <c r="BJ8" s="38"/>
      <c r="BK8" s="39" t="str">
        <f t="shared" si="15"/>
        <v>X</v>
      </c>
      <c r="BL8" s="40" t="b">
        <f>IF(ISNUMBER(BI8), IF(BK8=$H8,IF(BI8=$F8,IF(BJ8=$G8,IF($F8-$G8&gt;=3,6,IF($G8-$F8&gt;=3,6,IF($F8+$G8&gt;=4,6,5))),3),3),0))</f>
        <v>0</v>
      </c>
      <c r="BM8" s="37"/>
      <c r="BN8" s="38"/>
      <c r="BO8" s="39" t="str">
        <f t="shared" si="16"/>
        <v>X</v>
      </c>
      <c r="BP8" s="40" t="b">
        <f>IF(ISNUMBER(BM8), IF(BO8=$H8,IF(BM8=$F8,IF(BN8=$G8,IF($F8-$G8&gt;=3,6,IF($G8-$F8&gt;=3,6,IF($F8+$G8&gt;=4,6,5))),3),3),0))</f>
        <v>0</v>
      </c>
      <c r="BQ8" s="37"/>
      <c r="BR8" s="38"/>
      <c r="BS8" s="39" t="str">
        <f t="shared" si="17"/>
        <v>X</v>
      </c>
      <c r="BT8" s="40" t="b">
        <f>IF(ISNUMBER(BQ8), IF(BS8=$H8,IF(BQ8=$F8,IF(BR8=$G8,IF($F8-$G8&gt;=3,6,IF($G8-$F8&gt;=3,6,IF($F8+$G8&gt;=4,6,5))),3),3),0))</f>
        <v>0</v>
      </c>
      <c r="BU8" s="37"/>
      <c r="BV8" s="38"/>
      <c r="BW8" s="39" t="str">
        <f t="shared" si="18"/>
        <v>X</v>
      </c>
      <c r="BX8" s="40" t="b">
        <f>IF(ISNUMBER(BU8), IF(BW8=$H8,IF(BU8=$F8,IF(BV8=$G8,IF($F8-$G8&gt;=3,6,IF($G8-$F8&gt;=3,6,IF($F8+$G8&gt;=4,6,5))),3),3),0))</f>
        <v>0</v>
      </c>
      <c r="BY8" s="37"/>
      <c r="BZ8" s="38"/>
      <c r="CA8" s="39" t="str">
        <f t="shared" si="19"/>
        <v>X</v>
      </c>
      <c r="CB8" s="40" t="b">
        <f>IF(ISNUMBER(BY8), IF(CA8=$H8,IF(BY8=$F8,IF(BZ8=$G8,IF($F8-$G8&gt;=3,6,IF($G8-$F8&gt;=3,6,IF($F8+$G8&gt;=4,6,5))),3),3),0))</f>
        <v>0</v>
      </c>
      <c r="CC8" s="37"/>
      <c r="CD8" s="38"/>
      <c r="CE8" s="39" t="str">
        <f t="shared" si="20"/>
        <v>X</v>
      </c>
      <c r="CF8" s="40" t="b">
        <f>IF(ISNUMBER(CC8), IF(CE8=$H8,IF(CC8=$F8,IF(CD8=$G8,IF($F8-$G8&gt;=3,6,IF($G8-$F8&gt;=3,6,IF($F8+$G8&gt;=4,6,5))),3),3),0))</f>
        <v>0</v>
      </c>
      <c r="CG8" s="37"/>
      <c r="CH8" s="38"/>
      <c r="CI8" s="39" t="str">
        <f t="shared" si="21"/>
        <v>X</v>
      </c>
      <c r="CJ8" s="40" t="b">
        <f>IF(ISNUMBER(CG8), IF(CI8=$H8,IF(CG8=$F8,IF(CH8=$G8,IF($F8-$G8&gt;=3,6,IF($G8-$F8&gt;=3,6,IF($F8+$G8&gt;=4,6,5))),3),3),0))</f>
        <v>0</v>
      </c>
      <c r="CK8" s="37"/>
      <c r="CL8" s="38"/>
      <c r="CM8" s="39" t="str">
        <f t="shared" si="22"/>
        <v>X</v>
      </c>
      <c r="CN8" s="40" t="b">
        <f>IF(ISNUMBER(CK8), IF(CM8=$H8,IF(CK8=$F8,IF(CL8=$G8,IF($F8-$G8&gt;=3,6,IF($G8-$F8&gt;=3,6,IF($F8+$G8&gt;=4,6,5))),3),3),0))</f>
        <v>0</v>
      </c>
      <c r="CO8" s="37"/>
      <c r="CP8" s="38"/>
      <c r="CQ8" s="39" t="str">
        <f t="shared" si="23"/>
        <v>X</v>
      </c>
      <c r="CR8" s="40" t="b">
        <f>IF(ISNUMBER(CO8), IF(CQ8=$H8,IF(CO8=$F8,IF(CP8=$G8,IF($F8-$G8&gt;=3,6,IF($G8-$F8&gt;=3,6,IF($F8+$G8&gt;=4,6,5))),3),3),0))</f>
        <v>0</v>
      </c>
      <c r="CS8" s="37"/>
      <c r="CT8" s="38"/>
      <c r="CU8" s="39" t="str">
        <f t="shared" si="24"/>
        <v>X</v>
      </c>
      <c r="CV8" s="40" t="b">
        <f>IF(ISNUMBER(CS8), IF(CU8=$H8,IF(CS8=$F8,IF(CT8=$G8,IF($F8-$G8&gt;=3,6,IF($G8-$F8&gt;=3,6,IF($F8+$G8&gt;=4,6,5))),3),3),0))</f>
        <v>0</v>
      </c>
      <c r="CW8" s="37"/>
      <c r="CX8" s="38"/>
      <c r="CY8" s="39" t="str">
        <f t="shared" si="25"/>
        <v>X</v>
      </c>
      <c r="CZ8" s="40" t="b">
        <f>IF(ISNUMBER(CW8), IF(CY8=$H8,IF(CW8=$F8,IF(CX8=$G8,IF($F8-$G8&gt;=3,6,IF($G8-$F8&gt;=3,6,IF($F8+$G8&gt;=4,6,5))),3),3),0))</f>
        <v>0</v>
      </c>
      <c r="DA8" s="37"/>
      <c r="DB8" s="38"/>
      <c r="DC8" s="39" t="str">
        <f t="shared" si="26"/>
        <v>X</v>
      </c>
      <c r="DD8" s="40" t="b">
        <f>IF(ISNUMBER(DA8), IF(DC8=$H8,IF(DA8=$F8,IF(DB8=$G8,IF($F8-$G8&gt;=3,6,IF($G8-$F8&gt;=3,6,IF($F8+$G8&gt;=4,6,5))),3),3),0))</f>
        <v>0</v>
      </c>
      <c r="DE8" s="37"/>
      <c r="DF8" s="38"/>
      <c r="DG8" s="39" t="str">
        <f t="shared" si="27"/>
        <v>X</v>
      </c>
      <c r="DH8" s="40" t="b">
        <f>IF(ISNUMBER(DE8), IF(DG8=$H8,IF(DE8=$F8,IF(DF8=$G8,IF($F8-$G8&gt;=3,6,IF($G8-$F8&gt;=3,6,IF($F8+$G8&gt;=4,6,5))),3),3),0))</f>
        <v>0</v>
      </c>
      <c r="DI8" s="37"/>
      <c r="DJ8" s="38"/>
      <c r="DK8" s="39" t="str">
        <f t="shared" si="28"/>
        <v>X</v>
      </c>
      <c r="DL8" s="40" t="b">
        <f>IF(ISNUMBER(DI8), IF(DK8=$H8,IF(DI8=$F8,IF(DJ8=$G8,IF($F8-$G8&gt;=3,6,IF($G8-$F8&gt;=3,6,IF($F8+$G8&gt;=4,6,5))),3),3),0))</f>
        <v>0</v>
      </c>
      <c r="DM8" s="37"/>
      <c r="DN8" s="38"/>
      <c r="DO8" s="39" t="str">
        <f t="shared" si="29"/>
        <v>X</v>
      </c>
      <c r="DP8" s="40" t="b">
        <f>IF(ISNUMBER(DM8), IF(DO8=$H8,IF(DM8=$F8,IF(DN8=$G8,IF($F8-$G8&gt;=3,6,IF($G8-$F8&gt;=3,6,IF($F8+$G8&gt;=4,6,5))),3),3),0))</f>
        <v>0</v>
      </c>
    </row>
    <row r="9" spans="1:120" ht="13" customHeight="1" thickBot="1">
      <c r="A9" s="113"/>
      <c r="B9" s="42"/>
      <c r="C9" s="43"/>
      <c r="D9" s="44" t="s">
        <v>142</v>
      </c>
      <c r="E9" s="33">
        <f t="shared" si="0"/>
        <v>0</v>
      </c>
      <c r="F9" s="45"/>
      <c r="G9" s="46"/>
      <c r="H9" s="47" t="b">
        <f t="shared" si="1"/>
        <v>0</v>
      </c>
      <c r="I9" s="48"/>
      <c r="J9" s="49"/>
      <c r="K9" s="50" t="str">
        <f t="shared" si="2"/>
        <v>X</v>
      </c>
      <c r="L9" s="51" t="b">
        <f>IF(ISNUMBER(I9), IF(K9=$H9,IF(I9=$F9,IF(J9=$G9,2,1),1),0))</f>
        <v>0</v>
      </c>
      <c r="M9" s="48"/>
      <c r="N9" s="49"/>
      <c r="O9" s="50" t="str">
        <f t="shared" si="3"/>
        <v>X</v>
      </c>
      <c r="P9" s="51" t="b">
        <f>IF(ISNUMBER(M9), IF(O9=$H9,IF(M9=$F9,IF(N9=$G9,2,1),1),0))</f>
        <v>0</v>
      </c>
      <c r="Q9" s="48"/>
      <c r="R9" s="49"/>
      <c r="S9" s="50" t="str">
        <f t="shared" si="4"/>
        <v>X</v>
      </c>
      <c r="T9" s="51" t="b">
        <f>IF(ISNUMBER(Q9), IF(S9=$H9,IF(Q9=$F9,IF(R9=$G9,2,1),1),0))</f>
        <v>0</v>
      </c>
      <c r="U9" s="48"/>
      <c r="V9" s="49"/>
      <c r="W9" s="50" t="str">
        <f t="shared" si="5"/>
        <v>X</v>
      </c>
      <c r="X9" s="51" t="b">
        <f>IF(ISNUMBER(U9), IF(W9=$H9,IF(U9=$F9,IF(V9=$G9,2,1),1),0))</f>
        <v>0</v>
      </c>
      <c r="Y9" s="48"/>
      <c r="Z9" s="49"/>
      <c r="AA9" s="50" t="str">
        <f t="shared" si="6"/>
        <v>X</v>
      </c>
      <c r="AB9" s="51" t="b">
        <f>IF(ISNUMBER(Y9), IF(AA9=$H9,IF(Y9=$F9,IF(Z9=$G9,2,1),1),0))</f>
        <v>0</v>
      </c>
      <c r="AC9" s="48"/>
      <c r="AD9" s="49"/>
      <c r="AE9" s="50" t="str">
        <f t="shared" si="7"/>
        <v>X</v>
      </c>
      <c r="AF9" s="51" t="b">
        <f>IF(ISNUMBER(AC9), IF(AE9=$H9,IF(AC9=$F9,IF(AD9=$G9,2,1),1),0))</f>
        <v>0</v>
      </c>
      <c r="AG9" s="48"/>
      <c r="AH9" s="49"/>
      <c r="AI9" s="50" t="str">
        <f t="shared" si="8"/>
        <v>X</v>
      </c>
      <c r="AJ9" s="51" t="b">
        <f>IF(ISNUMBER(AG9), IF(AI9=$H9,IF(AG9=$F9,IF(AH9=$G9,2,1),1),0))</f>
        <v>0</v>
      </c>
      <c r="AK9" s="48"/>
      <c r="AL9" s="49"/>
      <c r="AM9" s="50" t="str">
        <f t="shared" si="9"/>
        <v>X</v>
      </c>
      <c r="AN9" s="51" t="b">
        <f>IF(ISNUMBER(AK9), IF(AM9=$H9,IF(AK9=$F9,IF(AL9=$G9,2,1),1),0))</f>
        <v>0</v>
      </c>
      <c r="AO9" s="48"/>
      <c r="AP9" s="49"/>
      <c r="AQ9" s="50" t="str">
        <f t="shared" si="10"/>
        <v>X</v>
      </c>
      <c r="AR9" s="51" t="b">
        <f>IF(ISNUMBER(AO9), IF(AQ9=$H9,IF(AO9=$F9,IF(AP9=$G9,2,1),1),0))</f>
        <v>0</v>
      </c>
      <c r="AS9" s="48"/>
      <c r="AT9" s="49"/>
      <c r="AU9" s="50" t="str">
        <f t="shared" si="11"/>
        <v>X</v>
      </c>
      <c r="AV9" s="51" t="b">
        <f>IF(ISNUMBER(AS9), IF(AU9=$H9,IF(AS9=$F9,IF(AT9=$G9,2,1),1),0))</f>
        <v>0</v>
      </c>
      <c r="AW9" s="48"/>
      <c r="AX9" s="49"/>
      <c r="AY9" s="50" t="str">
        <f t="shared" si="12"/>
        <v>X</v>
      </c>
      <c r="AZ9" s="51" t="b">
        <f>IF(ISNUMBER(AW9), IF(AY9=$H9,IF(AW9=$F9,IF(AX9=$G9,2,1),1),0))</f>
        <v>0</v>
      </c>
      <c r="BA9" s="48"/>
      <c r="BB9" s="49"/>
      <c r="BC9" s="50" t="str">
        <f t="shared" si="13"/>
        <v>X</v>
      </c>
      <c r="BD9" s="51" t="b">
        <f>IF(ISNUMBER(BA9), IF(BC9=$H9,IF(BA9=$F9,IF(BB9=$G9,2,1),1),0))</f>
        <v>0</v>
      </c>
      <c r="BE9" s="48"/>
      <c r="BF9" s="49"/>
      <c r="BG9" s="50" t="str">
        <f t="shared" si="14"/>
        <v>X</v>
      </c>
      <c r="BH9" s="51" t="b">
        <f>IF(ISNUMBER(BE9), IF(BG9=$H9,IF(BE9=$F9,IF(BF9=$G9,2,1),1),0))</f>
        <v>0</v>
      </c>
      <c r="BI9" s="48"/>
      <c r="BJ9" s="49"/>
      <c r="BK9" s="50" t="str">
        <f t="shared" si="15"/>
        <v>X</v>
      </c>
      <c r="BL9" s="51" t="b">
        <f>IF(ISNUMBER(BI9), IF(BK9=$H9,IF(BI9=$F9,IF(BJ9=$G9,2,1),1),0))</f>
        <v>0</v>
      </c>
      <c r="BM9" s="48"/>
      <c r="BN9" s="49"/>
      <c r="BO9" s="50" t="str">
        <f t="shared" si="16"/>
        <v>X</v>
      </c>
      <c r="BP9" s="51" t="b">
        <f>IF(ISNUMBER(BM9), IF(BO9=$H9,IF(BM9=$F9,IF(BN9=$G9,2,1),1),0))</f>
        <v>0</v>
      </c>
      <c r="BQ9" s="48"/>
      <c r="BR9" s="49"/>
      <c r="BS9" s="50" t="str">
        <f t="shared" si="17"/>
        <v>X</v>
      </c>
      <c r="BT9" s="51" t="b">
        <f>IF(ISNUMBER(BQ9), IF(BS9=$H9,IF(BQ9=$F9,IF(BR9=$G9,2,1),1),0))</f>
        <v>0</v>
      </c>
      <c r="BU9" s="48"/>
      <c r="BV9" s="49"/>
      <c r="BW9" s="50" t="str">
        <f t="shared" si="18"/>
        <v>X</v>
      </c>
      <c r="BX9" s="51" t="b">
        <f>IF(ISNUMBER(BU9), IF(BW9=$H9,IF(BU9=$F9,IF(BV9=$G9,2,1),1),0))</f>
        <v>0</v>
      </c>
      <c r="BY9" s="48"/>
      <c r="BZ9" s="49"/>
      <c r="CA9" s="50" t="str">
        <f t="shared" si="19"/>
        <v>X</v>
      </c>
      <c r="CB9" s="51" t="b">
        <f>IF(ISNUMBER(BY9), IF(CA9=$H9,IF(BY9=$F9,IF(BZ9=$G9,2,1),1),0))</f>
        <v>0</v>
      </c>
      <c r="CC9" s="48"/>
      <c r="CD9" s="49"/>
      <c r="CE9" s="50" t="str">
        <f t="shared" si="20"/>
        <v>X</v>
      </c>
      <c r="CF9" s="51" t="b">
        <f>IF(ISNUMBER(CC9), IF(CE9=$H9,IF(CC9=$F9,IF(CD9=$G9,2,1),1),0))</f>
        <v>0</v>
      </c>
      <c r="CG9" s="48"/>
      <c r="CH9" s="49"/>
      <c r="CI9" s="50" t="str">
        <f t="shared" si="21"/>
        <v>X</v>
      </c>
      <c r="CJ9" s="51" t="b">
        <f>IF(ISNUMBER(CG9), IF(CI9=$H9,IF(CG9=$F9,IF(CH9=$G9,2,1),1),0))</f>
        <v>0</v>
      </c>
      <c r="CK9" s="48"/>
      <c r="CL9" s="49"/>
      <c r="CM9" s="50" t="str">
        <f t="shared" si="22"/>
        <v>X</v>
      </c>
      <c r="CN9" s="51" t="b">
        <f>IF(ISNUMBER(CK9), IF(CM9=$H9,IF(CK9=$F9,IF(CL9=$G9,2,1),1),0))</f>
        <v>0</v>
      </c>
      <c r="CO9" s="48"/>
      <c r="CP9" s="49"/>
      <c r="CQ9" s="50" t="str">
        <f t="shared" si="23"/>
        <v>X</v>
      </c>
      <c r="CR9" s="51" t="b">
        <f>IF(ISNUMBER(CO9), IF(CQ9=$H9,IF(CO9=$F9,IF(CP9=$G9,2,1),1),0))</f>
        <v>0</v>
      </c>
      <c r="CS9" s="48"/>
      <c r="CT9" s="49"/>
      <c r="CU9" s="50" t="str">
        <f t="shared" si="24"/>
        <v>X</v>
      </c>
      <c r="CV9" s="51" t="b">
        <f>IF(ISNUMBER(CS9), IF(CU9=$H9,IF(CS9=$F9,IF(CT9=$G9,2,1),1),0))</f>
        <v>0</v>
      </c>
      <c r="CW9" s="48"/>
      <c r="CX9" s="49"/>
      <c r="CY9" s="50" t="str">
        <f t="shared" si="25"/>
        <v>X</v>
      </c>
      <c r="CZ9" s="51" t="b">
        <f>IF(ISNUMBER(CW9), IF(CY9=$H9,IF(CW9=$F9,IF(CX9=$G9,2,1),1),0))</f>
        <v>0</v>
      </c>
      <c r="DA9" s="48"/>
      <c r="DB9" s="49"/>
      <c r="DC9" s="50" t="str">
        <f t="shared" si="26"/>
        <v>X</v>
      </c>
      <c r="DD9" s="51" t="b">
        <f>IF(ISNUMBER(DA9), IF(DC9=$H9,IF(DA9=$F9,IF(DB9=$G9,2,1),1),0))</f>
        <v>0</v>
      </c>
      <c r="DE9" s="48"/>
      <c r="DF9" s="49"/>
      <c r="DG9" s="50" t="str">
        <f t="shared" si="27"/>
        <v>X</v>
      </c>
      <c r="DH9" s="51" t="b">
        <f>IF(ISNUMBER(DE9), IF(DG9=$H9,IF(DE9=$F9,IF(DF9=$G9,2,1),1),0))</f>
        <v>0</v>
      </c>
      <c r="DI9" s="48"/>
      <c r="DJ9" s="49"/>
      <c r="DK9" s="50" t="str">
        <f t="shared" si="28"/>
        <v>X</v>
      </c>
      <c r="DL9" s="51" t="b">
        <f>IF(ISNUMBER(DI9), IF(DK9=$H9,IF(DI9=$F9,IF(DJ9=$G9,2,1),1),0))</f>
        <v>0</v>
      </c>
      <c r="DM9" s="48"/>
      <c r="DN9" s="49"/>
      <c r="DO9" s="50" t="str">
        <f t="shared" si="29"/>
        <v>X</v>
      </c>
      <c r="DP9" s="51" t="b">
        <f>IF(ISNUMBER(DM9), IF(DO9=$H9,IF(DM9=$F9,IF(DN9=$G9,2,1),1),0))</f>
        <v>0</v>
      </c>
    </row>
    <row r="10" spans="1:120" ht="13" customHeight="1" thickBot="1">
      <c r="A10" s="41"/>
      <c r="B10" s="42"/>
      <c r="C10" s="43"/>
      <c r="D10" s="44" t="s">
        <v>143</v>
      </c>
      <c r="E10" s="33">
        <f t="shared" si="0"/>
        <v>0</v>
      </c>
      <c r="F10" s="45"/>
      <c r="G10" s="46"/>
      <c r="H10" s="47" t="b">
        <f t="shared" si="1"/>
        <v>0</v>
      </c>
      <c r="I10" s="48"/>
      <c r="J10" s="49"/>
      <c r="K10" s="50" t="str">
        <f t="shared" si="2"/>
        <v>X</v>
      </c>
      <c r="L10" s="51" t="b">
        <f>IF(ISNUMBER(I10), IF(K10=$H10,IF(I10=$F10,IF(J10=$G10,2,1),1),0))</f>
        <v>0</v>
      </c>
      <c r="M10" s="48"/>
      <c r="N10" s="49"/>
      <c r="O10" s="50" t="str">
        <f t="shared" si="3"/>
        <v>X</v>
      </c>
      <c r="P10" s="51" t="b">
        <f>IF(ISNUMBER(M10), IF(O10=$H10,IF(M10=$F10,IF(N10=$G10,2,1),1),0))</f>
        <v>0</v>
      </c>
      <c r="Q10" s="48"/>
      <c r="R10" s="49"/>
      <c r="S10" s="50" t="str">
        <f t="shared" si="4"/>
        <v>X</v>
      </c>
      <c r="T10" s="51" t="b">
        <f>IF(ISNUMBER(Q10), IF(S10=$H10,IF(Q10=$F10,IF(R10=$G10,2,1),1),0))</f>
        <v>0</v>
      </c>
      <c r="U10" s="48"/>
      <c r="V10" s="49"/>
      <c r="W10" s="50" t="str">
        <f t="shared" si="5"/>
        <v>X</v>
      </c>
      <c r="X10" s="51" t="b">
        <f>IF(ISNUMBER(U10), IF(W10=$H10,IF(U10=$F10,IF(V10=$G10,2,1),1),0))</f>
        <v>0</v>
      </c>
      <c r="Y10" s="48"/>
      <c r="Z10" s="49"/>
      <c r="AA10" s="50" t="str">
        <f t="shared" si="6"/>
        <v>X</v>
      </c>
      <c r="AB10" s="51" t="b">
        <f>IF(ISNUMBER(Y10), IF(AA10=$H10,IF(Y10=$F10,IF(Z10=$G10,2,1),1),0))</f>
        <v>0</v>
      </c>
      <c r="AC10" s="48"/>
      <c r="AD10" s="49"/>
      <c r="AE10" s="50" t="str">
        <f t="shared" si="7"/>
        <v>X</v>
      </c>
      <c r="AF10" s="51" t="b">
        <f>IF(ISNUMBER(AC10), IF(AE10=$H10,IF(AC10=$F10,IF(AD10=$G10,2,1),1),0))</f>
        <v>0</v>
      </c>
      <c r="AG10" s="48"/>
      <c r="AH10" s="49"/>
      <c r="AI10" s="50" t="str">
        <f t="shared" si="8"/>
        <v>X</v>
      </c>
      <c r="AJ10" s="51" t="b">
        <f>IF(ISNUMBER(AG10), IF(AI10=$H10,IF(AG10=$F10,IF(AH10=$G10,2,1),1),0))</f>
        <v>0</v>
      </c>
      <c r="AK10" s="48"/>
      <c r="AL10" s="49"/>
      <c r="AM10" s="50" t="str">
        <f t="shared" si="9"/>
        <v>X</v>
      </c>
      <c r="AN10" s="51" t="b">
        <f>IF(ISNUMBER(AK10), IF(AM10=$H10,IF(AK10=$F10,IF(AL10=$G10,2,1),1),0))</f>
        <v>0</v>
      </c>
      <c r="AO10" s="48"/>
      <c r="AP10" s="49"/>
      <c r="AQ10" s="50" t="str">
        <f t="shared" si="10"/>
        <v>X</v>
      </c>
      <c r="AR10" s="51" t="b">
        <f>IF(ISNUMBER(AO10), IF(AQ10=$H10,IF(AO10=$F10,IF(AP10=$G10,2,1),1),0))</f>
        <v>0</v>
      </c>
      <c r="AS10" s="48"/>
      <c r="AT10" s="49"/>
      <c r="AU10" s="50" t="str">
        <f t="shared" si="11"/>
        <v>X</v>
      </c>
      <c r="AV10" s="51" t="b">
        <f>IF(ISNUMBER(AS10), IF(AU10=$H10,IF(AS10=$F10,IF(AT10=$G10,2,1),1),0))</f>
        <v>0</v>
      </c>
      <c r="AW10" s="48"/>
      <c r="AX10" s="49"/>
      <c r="AY10" s="50" t="str">
        <f t="shared" si="12"/>
        <v>X</v>
      </c>
      <c r="AZ10" s="51" t="b">
        <f>IF(ISNUMBER(AW10), IF(AY10=$H10,IF(AW10=$F10,IF(AX10=$G10,2,1),1),0))</f>
        <v>0</v>
      </c>
      <c r="BA10" s="48"/>
      <c r="BB10" s="49"/>
      <c r="BC10" s="50" t="str">
        <f t="shared" si="13"/>
        <v>X</v>
      </c>
      <c r="BD10" s="51" t="b">
        <f>IF(ISNUMBER(BA10), IF(BC10=$H10,IF(BA10=$F10,IF(BB10=$G10,2,1),1),0))</f>
        <v>0</v>
      </c>
      <c r="BE10" s="48"/>
      <c r="BF10" s="49"/>
      <c r="BG10" s="50" t="str">
        <f t="shared" si="14"/>
        <v>X</v>
      </c>
      <c r="BH10" s="51" t="b">
        <f>IF(ISNUMBER(BE10), IF(BG10=$H10,IF(BE10=$F10,IF(BF10=$G10,2,1),1),0))</f>
        <v>0</v>
      </c>
      <c r="BI10" s="48"/>
      <c r="BJ10" s="49"/>
      <c r="BK10" s="50" t="str">
        <f t="shared" si="15"/>
        <v>X</v>
      </c>
      <c r="BL10" s="51" t="b">
        <f>IF(ISNUMBER(BI10), IF(BK10=$H10,IF(BI10=$F10,IF(BJ10=$G10,2,1),1),0))</f>
        <v>0</v>
      </c>
      <c r="BM10" s="48"/>
      <c r="BN10" s="49"/>
      <c r="BO10" s="50" t="str">
        <f t="shared" si="16"/>
        <v>X</v>
      </c>
      <c r="BP10" s="51" t="b">
        <f>IF(ISNUMBER(BM10), IF(BO10=$H10,IF(BM10=$F10,IF(BN10=$G10,2,1),1),0))</f>
        <v>0</v>
      </c>
      <c r="BQ10" s="48"/>
      <c r="BR10" s="49"/>
      <c r="BS10" s="50" t="str">
        <f t="shared" si="17"/>
        <v>X</v>
      </c>
      <c r="BT10" s="51" t="b">
        <f>IF(ISNUMBER(BQ10), IF(BS10=$H10,IF(BQ10=$F10,IF(BR10=$G10,2,1),1),0))</f>
        <v>0</v>
      </c>
      <c r="BU10" s="48"/>
      <c r="BV10" s="49"/>
      <c r="BW10" s="50" t="str">
        <f t="shared" si="18"/>
        <v>X</v>
      </c>
      <c r="BX10" s="51" t="b">
        <f>IF(ISNUMBER(BU10), IF(BW10=$H10,IF(BU10=$F10,IF(BV10=$G10,2,1),1),0))</f>
        <v>0</v>
      </c>
      <c r="BY10" s="48"/>
      <c r="BZ10" s="49"/>
      <c r="CA10" s="50" t="str">
        <f t="shared" si="19"/>
        <v>X</v>
      </c>
      <c r="CB10" s="51" t="b">
        <f>IF(ISNUMBER(BY10), IF(CA10=$H10,IF(BY10=$F10,IF(BZ10=$G10,2,1),1),0))</f>
        <v>0</v>
      </c>
      <c r="CC10" s="48"/>
      <c r="CD10" s="49"/>
      <c r="CE10" s="50" t="str">
        <f t="shared" si="20"/>
        <v>X</v>
      </c>
      <c r="CF10" s="51" t="b">
        <f>IF(ISNUMBER(CC10), IF(CE10=$H10,IF(CC10=$F10,IF(CD10=$G10,2,1),1),0))</f>
        <v>0</v>
      </c>
      <c r="CG10" s="48"/>
      <c r="CH10" s="49"/>
      <c r="CI10" s="50" t="str">
        <f t="shared" si="21"/>
        <v>X</v>
      </c>
      <c r="CJ10" s="51" t="b">
        <f>IF(ISNUMBER(CG10), IF(CI10=$H10,IF(CG10=$F10,IF(CH10=$G10,2,1),1),0))</f>
        <v>0</v>
      </c>
      <c r="CK10" s="48"/>
      <c r="CL10" s="49"/>
      <c r="CM10" s="50" t="str">
        <f t="shared" si="22"/>
        <v>X</v>
      </c>
      <c r="CN10" s="51" t="b">
        <f>IF(ISNUMBER(CK10), IF(CM10=$H10,IF(CK10=$F10,IF(CL10=$G10,2,1),1),0))</f>
        <v>0</v>
      </c>
      <c r="CO10" s="48"/>
      <c r="CP10" s="49"/>
      <c r="CQ10" s="50" t="str">
        <f t="shared" si="23"/>
        <v>X</v>
      </c>
      <c r="CR10" s="51" t="b">
        <f>IF(ISNUMBER(CO10), IF(CQ10=$H10,IF(CO10=$F10,IF(CP10=$G10,2,1),1),0))</f>
        <v>0</v>
      </c>
      <c r="CS10" s="48"/>
      <c r="CT10" s="49"/>
      <c r="CU10" s="50" t="str">
        <f t="shared" si="24"/>
        <v>X</v>
      </c>
      <c r="CV10" s="51" t="b">
        <f>IF(ISNUMBER(CS10), IF(CU10=$H10,IF(CS10=$F10,IF(CT10=$G10,2,1),1),0))</f>
        <v>0</v>
      </c>
      <c r="CW10" s="48"/>
      <c r="CX10" s="49"/>
      <c r="CY10" s="50" t="str">
        <f t="shared" si="25"/>
        <v>X</v>
      </c>
      <c r="CZ10" s="51" t="b">
        <f>IF(ISNUMBER(CW10), IF(CY10=$H10,IF(CW10=$F10,IF(CX10=$G10,2,1),1),0))</f>
        <v>0</v>
      </c>
      <c r="DA10" s="48"/>
      <c r="DB10" s="49"/>
      <c r="DC10" s="50" t="str">
        <f t="shared" si="26"/>
        <v>X</v>
      </c>
      <c r="DD10" s="51" t="b">
        <f>IF(ISNUMBER(DA10), IF(DC10=$H10,IF(DA10=$F10,IF(DB10=$G10,2,1),1),0))</f>
        <v>0</v>
      </c>
      <c r="DE10" s="48"/>
      <c r="DF10" s="49"/>
      <c r="DG10" s="50" t="str">
        <f t="shared" si="27"/>
        <v>X</v>
      </c>
      <c r="DH10" s="51" t="b">
        <f>IF(ISNUMBER(DE10), IF(DG10=$H10,IF(DE10=$F10,IF(DF10=$G10,2,1),1),0))</f>
        <v>0</v>
      </c>
      <c r="DI10" s="48"/>
      <c r="DJ10" s="49"/>
      <c r="DK10" s="50" t="str">
        <f t="shared" si="28"/>
        <v>X</v>
      </c>
      <c r="DL10" s="51" t="b">
        <f>IF(ISNUMBER(DI10), IF(DK10=$H10,IF(DI10=$F10,IF(DJ10=$G10,2,1),1),0))</f>
        <v>0</v>
      </c>
      <c r="DM10" s="48"/>
      <c r="DN10" s="49"/>
      <c r="DO10" s="50" t="str">
        <f t="shared" si="29"/>
        <v>X</v>
      </c>
      <c r="DP10" s="51" t="b">
        <f>IF(ISNUMBER(DM10), IF(DO10=$H10,IF(DM10=$F10,IF(DN10=$G10,2,1),1),0))</f>
        <v>0</v>
      </c>
    </row>
    <row r="11" spans="1:120" s="25" customFormat="1" ht="13" customHeight="1" thickBot="1">
      <c r="A11" s="52"/>
      <c r="B11" s="53"/>
      <c r="C11" s="54"/>
      <c r="D11" s="55" t="s">
        <v>144</v>
      </c>
      <c r="E11" s="33">
        <f t="shared" si="0"/>
        <v>0</v>
      </c>
      <c r="F11" s="56"/>
      <c r="G11" s="56"/>
      <c r="H11" s="57" t="b">
        <f t="shared" si="1"/>
        <v>0</v>
      </c>
      <c r="I11" s="58">
        <f>SUM(I8:I10)</f>
        <v>0</v>
      </c>
      <c r="J11" s="59">
        <f>SUM(J8:J10)</f>
        <v>0</v>
      </c>
      <c r="K11" s="59" t="str">
        <f t="shared" si="2"/>
        <v>X</v>
      </c>
      <c r="L11" s="60">
        <f>IF($H11=K11,SUM(L8:L10)+1,SUM(L8:L10))</f>
        <v>0</v>
      </c>
      <c r="M11" s="58">
        <f>SUM(M8:M10)</f>
        <v>0</v>
      </c>
      <c r="N11" s="59">
        <f>SUM(N8:N10)</f>
        <v>0</v>
      </c>
      <c r="O11" s="59" t="str">
        <f t="shared" si="3"/>
        <v>X</v>
      </c>
      <c r="P11" s="60">
        <f>IF($H11=O11,SUM(P8:P10)+1,SUM(P8:P10))</f>
        <v>0</v>
      </c>
      <c r="Q11" s="58">
        <f>SUM(Q8:Q10)</f>
        <v>0</v>
      </c>
      <c r="R11" s="59">
        <f>SUM(R8:R10)</f>
        <v>0</v>
      </c>
      <c r="S11" s="59" t="str">
        <f t="shared" si="4"/>
        <v>X</v>
      </c>
      <c r="T11" s="60">
        <f>IF($H11=S11,SUM(T8:T10)+1,SUM(T8:T10))</f>
        <v>0</v>
      </c>
      <c r="U11" s="58">
        <f>SUM(U8:U10)</f>
        <v>0</v>
      </c>
      <c r="V11" s="59">
        <f>SUM(V8:V10)</f>
        <v>0</v>
      </c>
      <c r="W11" s="59" t="str">
        <f t="shared" si="5"/>
        <v>X</v>
      </c>
      <c r="X11" s="60">
        <f>IF($H11=W11,SUM(X8:X10)+1,SUM(X8:X10))</f>
        <v>0</v>
      </c>
      <c r="Y11" s="58">
        <f>SUM(Y8:Y10)</f>
        <v>0</v>
      </c>
      <c r="Z11" s="59">
        <f>SUM(Z8:Z10)</f>
        <v>0</v>
      </c>
      <c r="AA11" s="59" t="str">
        <f t="shared" si="6"/>
        <v>X</v>
      </c>
      <c r="AB11" s="60">
        <f>IF($H11=AA11,SUM(AB8:AB10)+1,SUM(AB8:AB10))</f>
        <v>0</v>
      </c>
      <c r="AC11" s="58">
        <f>SUM(AC8:AC10)</f>
        <v>0</v>
      </c>
      <c r="AD11" s="59">
        <f>SUM(AD8:AD10)</f>
        <v>0</v>
      </c>
      <c r="AE11" s="59" t="str">
        <f t="shared" si="7"/>
        <v>X</v>
      </c>
      <c r="AF11" s="60">
        <f>IF($H11=AE11,SUM(AF8:AF10)+1,SUM(AF8:AF10))</f>
        <v>0</v>
      </c>
      <c r="AG11" s="58">
        <f>SUM(AG8:AG10)</f>
        <v>0</v>
      </c>
      <c r="AH11" s="59">
        <f>SUM(AH8:AH10)</f>
        <v>0</v>
      </c>
      <c r="AI11" s="59" t="str">
        <f t="shared" si="8"/>
        <v>X</v>
      </c>
      <c r="AJ11" s="60">
        <f>IF($H11=AI11,SUM(AJ8:AJ10)+1,SUM(AJ8:AJ10))</f>
        <v>0</v>
      </c>
      <c r="AK11" s="58">
        <f>SUM(AK8:AK10)</f>
        <v>0</v>
      </c>
      <c r="AL11" s="59">
        <f>SUM(AL8:AL10)</f>
        <v>0</v>
      </c>
      <c r="AM11" s="59" t="str">
        <f t="shared" si="9"/>
        <v>X</v>
      </c>
      <c r="AN11" s="60">
        <f>IF($H11=AM11,SUM(AN8:AN10)+1,SUM(AN8:AN10))</f>
        <v>0</v>
      </c>
      <c r="AO11" s="58">
        <f>SUM(AO8:AO10)</f>
        <v>0</v>
      </c>
      <c r="AP11" s="59">
        <f>SUM(AP8:AP10)</f>
        <v>0</v>
      </c>
      <c r="AQ11" s="59" t="str">
        <f t="shared" si="10"/>
        <v>X</v>
      </c>
      <c r="AR11" s="60">
        <f>IF($H11=AQ11,SUM(AR8:AR10)+1,SUM(AR8:AR10))</f>
        <v>0</v>
      </c>
      <c r="AS11" s="58">
        <f>SUM(AS8:AS10)</f>
        <v>0</v>
      </c>
      <c r="AT11" s="59">
        <f>SUM(AT8:AT10)</f>
        <v>0</v>
      </c>
      <c r="AU11" s="59" t="str">
        <f t="shared" si="11"/>
        <v>X</v>
      </c>
      <c r="AV11" s="60">
        <f>IF($H11=AU11,SUM(AV8:AV10)+1,SUM(AV8:AV10))</f>
        <v>0</v>
      </c>
      <c r="AW11" s="58">
        <f>SUM(AW8:AW10)</f>
        <v>0</v>
      </c>
      <c r="AX11" s="59">
        <f>SUM(AX8:AX10)</f>
        <v>0</v>
      </c>
      <c r="AY11" s="59" t="str">
        <f t="shared" si="12"/>
        <v>X</v>
      </c>
      <c r="AZ11" s="60">
        <f>IF($H11=AY11,SUM(AZ8:AZ10)+1,SUM(AZ8:AZ10))</f>
        <v>0</v>
      </c>
      <c r="BA11" s="58">
        <f>SUM(BA8:BA10)</f>
        <v>0</v>
      </c>
      <c r="BB11" s="59">
        <f>SUM(BB8:BB10)</f>
        <v>0</v>
      </c>
      <c r="BC11" s="59" t="str">
        <f t="shared" si="13"/>
        <v>X</v>
      </c>
      <c r="BD11" s="60">
        <f>IF($H11=BC11,SUM(BD8:BD10)+1,SUM(BD8:BD10))</f>
        <v>0</v>
      </c>
      <c r="BE11" s="58">
        <f>SUM(BE8:BE10)</f>
        <v>0</v>
      </c>
      <c r="BF11" s="59">
        <f>SUM(BF8:BF10)</f>
        <v>0</v>
      </c>
      <c r="BG11" s="59" t="str">
        <f t="shared" si="14"/>
        <v>X</v>
      </c>
      <c r="BH11" s="60">
        <f>IF($H11=BG11,SUM(BH8:BH10)+1,SUM(BH8:BH10))</f>
        <v>0</v>
      </c>
      <c r="BI11" s="58">
        <f>SUM(BI8:BI10)</f>
        <v>0</v>
      </c>
      <c r="BJ11" s="59">
        <f>SUM(BJ8:BJ10)</f>
        <v>0</v>
      </c>
      <c r="BK11" s="59" t="str">
        <f t="shared" si="15"/>
        <v>X</v>
      </c>
      <c r="BL11" s="60">
        <f>IF($H11=BK11,SUM(BL8:BL10)+1,SUM(BL8:BL10))</f>
        <v>0</v>
      </c>
      <c r="BM11" s="58">
        <f>SUM(BM8:BM10)</f>
        <v>0</v>
      </c>
      <c r="BN11" s="59">
        <f>SUM(BN8:BN10)</f>
        <v>0</v>
      </c>
      <c r="BO11" s="59" t="str">
        <f t="shared" si="16"/>
        <v>X</v>
      </c>
      <c r="BP11" s="60">
        <f>IF($H11=BO11,SUM(BP8:BP10)+1,SUM(BP8:BP10))</f>
        <v>0</v>
      </c>
      <c r="BQ11" s="58">
        <f>SUM(BQ8:BQ10)</f>
        <v>0</v>
      </c>
      <c r="BR11" s="59">
        <f>SUM(BR8:BR10)</f>
        <v>0</v>
      </c>
      <c r="BS11" s="59" t="str">
        <f t="shared" si="17"/>
        <v>X</v>
      </c>
      <c r="BT11" s="60">
        <f>IF($H11=BS11,SUM(BT8:BT10)+1,SUM(BT8:BT10))</f>
        <v>0</v>
      </c>
      <c r="BU11" s="58">
        <f>SUM(BU8:BU10)</f>
        <v>0</v>
      </c>
      <c r="BV11" s="59">
        <f>SUM(BV8:BV10)</f>
        <v>0</v>
      </c>
      <c r="BW11" s="59" t="str">
        <f t="shared" si="18"/>
        <v>X</v>
      </c>
      <c r="BX11" s="60">
        <f>IF($H11=BW11,SUM(BX8:BX10)+1,SUM(BX8:BX10))</f>
        <v>0</v>
      </c>
      <c r="BY11" s="58">
        <f>SUM(BY8:BY10)</f>
        <v>0</v>
      </c>
      <c r="BZ11" s="59">
        <f>SUM(BZ8:BZ10)</f>
        <v>0</v>
      </c>
      <c r="CA11" s="59" t="str">
        <f t="shared" si="19"/>
        <v>X</v>
      </c>
      <c r="CB11" s="60">
        <f>IF($H11=CA11,SUM(CB8:CB10)+1,SUM(CB8:CB10))</f>
        <v>0</v>
      </c>
      <c r="CC11" s="58">
        <f>SUM(CC8:CC10)</f>
        <v>0</v>
      </c>
      <c r="CD11" s="59">
        <f>SUM(CD8:CD10)</f>
        <v>0</v>
      </c>
      <c r="CE11" s="59" t="str">
        <f t="shared" si="20"/>
        <v>X</v>
      </c>
      <c r="CF11" s="60">
        <f>IF($H11=CE11,SUM(CF8:CF10)+1,SUM(CF8:CF10))</f>
        <v>0</v>
      </c>
      <c r="CG11" s="58">
        <f>SUM(CG8:CG10)</f>
        <v>0</v>
      </c>
      <c r="CH11" s="59">
        <f>SUM(CH8:CH10)</f>
        <v>0</v>
      </c>
      <c r="CI11" s="59" t="str">
        <f t="shared" si="21"/>
        <v>X</v>
      </c>
      <c r="CJ11" s="60">
        <f>IF($H11=CI11,SUM(CJ8:CJ10)+1,SUM(CJ8:CJ10))</f>
        <v>0</v>
      </c>
      <c r="CK11" s="58">
        <f>SUM(CK8:CK10)</f>
        <v>0</v>
      </c>
      <c r="CL11" s="59">
        <f>SUM(CL8:CL10)</f>
        <v>0</v>
      </c>
      <c r="CM11" s="59" t="str">
        <f t="shared" si="22"/>
        <v>X</v>
      </c>
      <c r="CN11" s="60">
        <f>IF($H11=CM11,SUM(CN8:CN10)+1,SUM(CN8:CN10))</f>
        <v>0</v>
      </c>
      <c r="CO11" s="58">
        <f>SUM(CO8:CO10)</f>
        <v>0</v>
      </c>
      <c r="CP11" s="59">
        <f>SUM(CP8:CP10)</f>
        <v>0</v>
      </c>
      <c r="CQ11" s="59" t="str">
        <f t="shared" si="23"/>
        <v>X</v>
      </c>
      <c r="CR11" s="60">
        <f>IF($H11=CQ11,SUM(CR8:CR10)+1,SUM(CR8:CR10))</f>
        <v>0</v>
      </c>
      <c r="CS11" s="58">
        <f>SUM(CS8:CS10)</f>
        <v>0</v>
      </c>
      <c r="CT11" s="59">
        <f>SUM(CT8:CT10)</f>
        <v>0</v>
      </c>
      <c r="CU11" s="59" t="str">
        <f t="shared" si="24"/>
        <v>X</v>
      </c>
      <c r="CV11" s="60">
        <f>IF($H11=CU11,SUM(CV8:CV10)+1,SUM(CV8:CV10))</f>
        <v>0</v>
      </c>
      <c r="CW11" s="58">
        <f>SUM(CW8:CW10)</f>
        <v>0</v>
      </c>
      <c r="CX11" s="59">
        <f>SUM(CX8:CX10)</f>
        <v>0</v>
      </c>
      <c r="CY11" s="59" t="str">
        <f t="shared" si="25"/>
        <v>X</v>
      </c>
      <c r="CZ11" s="60">
        <f>IF($H11=CY11,SUM(CZ8:CZ10)+1,SUM(CZ8:CZ10))</f>
        <v>0</v>
      </c>
      <c r="DA11" s="58">
        <f>SUM(DA8:DA10)</f>
        <v>0</v>
      </c>
      <c r="DB11" s="59">
        <f>SUM(DB8:DB10)</f>
        <v>0</v>
      </c>
      <c r="DC11" s="59" t="str">
        <f t="shared" si="26"/>
        <v>X</v>
      </c>
      <c r="DD11" s="60">
        <f>IF($H11=DC11,SUM(DD8:DD10)+1,SUM(DD8:DD10))</f>
        <v>0</v>
      </c>
      <c r="DE11" s="58">
        <f>SUM(DE8:DE10)</f>
        <v>0</v>
      </c>
      <c r="DF11" s="59">
        <f>SUM(DF8:DF10)</f>
        <v>0</v>
      </c>
      <c r="DG11" s="59" t="str">
        <f t="shared" si="27"/>
        <v>X</v>
      </c>
      <c r="DH11" s="60">
        <f>IF($H11=DG11,SUM(DH8:DH10)+1,SUM(DH8:DH10))</f>
        <v>0</v>
      </c>
      <c r="DI11" s="58">
        <f>SUM(DI8:DI10)</f>
        <v>0</v>
      </c>
      <c r="DJ11" s="59">
        <f>SUM(DJ8:DJ10)</f>
        <v>0</v>
      </c>
      <c r="DK11" s="59" t="str">
        <f t="shared" si="28"/>
        <v>X</v>
      </c>
      <c r="DL11" s="60">
        <f>IF($H11=DK11,SUM(DL8:DL10)+1,SUM(DL8:DL10))</f>
        <v>0</v>
      </c>
      <c r="DM11" s="58">
        <f>SUM(DM8:DM10)</f>
        <v>0</v>
      </c>
      <c r="DN11" s="59">
        <f>SUM(DN8:DN10)</f>
        <v>0</v>
      </c>
      <c r="DO11" s="59" t="str">
        <f t="shared" si="29"/>
        <v>X</v>
      </c>
      <c r="DP11" s="60">
        <f>IF($H11=DO11,SUM(DP8:DP10)+1,SUM(DP8:DP10))</f>
        <v>0</v>
      </c>
    </row>
    <row r="12" spans="1:120" ht="13" customHeight="1" thickBot="1">
      <c r="A12" s="113">
        <f>A8+1</f>
        <v>43437</v>
      </c>
      <c r="B12" s="30" t="s">
        <v>140</v>
      </c>
      <c r="C12" s="31"/>
      <c r="D12" s="32" t="s">
        <v>141</v>
      </c>
      <c r="E12" s="33">
        <f t="shared" si="0"/>
        <v>0</v>
      </c>
      <c r="F12" s="34"/>
      <c r="G12" s="35"/>
      <c r="H12" s="36" t="b">
        <f t="shared" si="1"/>
        <v>0</v>
      </c>
      <c r="I12" s="37"/>
      <c r="J12" s="38"/>
      <c r="K12" s="39" t="str">
        <f t="shared" si="2"/>
        <v>X</v>
      </c>
      <c r="L12" s="40" t="b">
        <f>IF(ISNUMBER(I12), IF(K12=$H12,IF(I12=$F12,IF(J12=$G12,IF($F12-$G12&gt;=3,6,IF($G12-$F12&gt;=3,6,IF($F12+$G12&gt;=4,6,5))),3),3),0))</f>
        <v>0</v>
      </c>
      <c r="M12" s="37"/>
      <c r="N12" s="38"/>
      <c r="O12" s="39" t="str">
        <f t="shared" si="3"/>
        <v>X</v>
      </c>
      <c r="P12" s="40" t="b">
        <f>IF(ISNUMBER(M12), IF(O12=$H12,IF(M12=$F12,IF(N12=$G12,IF($F12-$G12&gt;=3,6,IF($G12-$F12&gt;=3,6,IF($F12+$G12&gt;=4,6,5))),3),3),0))</f>
        <v>0</v>
      </c>
      <c r="Q12" s="37"/>
      <c r="R12" s="38"/>
      <c r="S12" s="39" t="str">
        <f t="shared" si="4"/>
        <v>X</v>
      </c>
      <c r="T12" s="40" t="b">
        <f>IF(ISNUMBER(Q12), IF(S12=$H12,IF(Q12=$F12,IF(R12=$G12,IF($F12-$G12&gt;=3,6,IF($G12-$F12&gt;=3,6,IF($F12+$G12&gt;=4,6,5))),3),3),0))</f>
        <v>0</v>
      </c>
      <c r="U12" s="37"/>
      <c r="V12" s="38"/>
      <c r="W12" s="39" t="str">
        <f t="shared" si="5"/>
        <v>X</v>
      </c>
      <c r="X12" s="40" t="b">
        <f>IF(ISNUMBER(U12), IF(W12=$H12,IF(U12=$F12,IF(V12=$G12,IF($F12-$G12&gt;=3,6,IF($G12-$F12&gt;=3,6,IF($F12+$G12&gt;=4,6,5))),3),3),0))</f>
        <v>0</v>
      </c>
      <c r="Y12" s="37"/>
      <c r="Z12" s="38"/>
      <c r="AA12" s="39" t="str">
        <f t="shared" si="6"/>
        <v>X</v>
      </c>
      <c r="AB12" s="40" t="b">
        <f>IF(ISNUMBER(Y12), IF(AA12=$H12,IF(Y12=$F12,IF(Z12=$G12,IF($F12-$G12&gt;=3,6,IF($G12-$F12&gt;=3,6,IF($F12+$G12&gt;=4,6,5))),3),3),0))</f>
        <v>0</v>
      </c>
      <c r="AC12" s="37"/>
      <c r="AD12" s="38"/>
      <c r="AE12" s="39" t="str">
        <f t="shared" si="7"/>
        <v>X</v>
      </c>
      <c r="AF12" s="40" t="b">
        <f>IF(ISNUMBER(AC12), IF(AE12=$H12,IF(AC12=$F12,IF(AD12=$G12,IF($F12-$G12&gt;=3,6,IF($G12-$F12&gt;=3,6,IF($F12+$G12&gt;=4,6,5))),3),3),0))</f>
        <v>0</v>
      </c>
      <c r="AG12" s="37"/>
      <c r="AH12" s="38"/>
      <c r="AI12" s="39" t="str">
        <f t="shared" si="8"/>
        <v>X</v>
      </c>
      <c r="AJ12" s="40" t="b">
        <f>IF(ISNUMBER(AG12), IF(AI12=$H12,IF(AG12=$F12,IF(AH12=$G12,IF($F12-$G12&gt;=3,6,IF($G12-$F12&gt;=3,6,IF($F12+$G12&gt;=4,6,5))),3),3),0))</f>
        <v>0</v>
      </c>
      <c r="AK12" s="37"/>
      <c r="AL12" s="38"/>
      <c r="AM12" s="39" t="str">
        <f t="shared" si="9"/>
        <v>X</v>
      </c>
      <c r="AN12" s="40" t="b">
        <f>IF(ISNUMBER(AK12), IF(AM12=$H12,IF(AK12=$F12,IF(AL12=$G12,IF($F12-$G12&gt;=3,6,IF($G12-$F12&gt;=3,6,IF($F12+$G12&gt;=4,6,5))),3),3),0))</f>
        <v>0</v>
      </c>
      <c r="AO12" s="37"/>
      <c r="AP12" s="38"/>
      <c r="AQ12" s="39" t="str">
        <f t="shared" si="10"/>
        <v>X</v>
      </c>
      <c r="AR12" s="40" t="b">
        <f>IF(ISNUMBER(AO12), IF(AQ12=$H12,IF(AO12=$F12,IF(AP12=$G12,IF($F12-$G12&gt;=3,6,IF($G12-$F12&gt;=3,6,IF($F12+$G12&gt;=4,6,5))),3),3),0))</f>
        <v>0</v>
      </c>
      <c r="AS12" s="37"/>
      <c r="AT12" s="38"/>
      <c r="AU12" s="39" t="str">
        <f t="shared" si="11"/>
        <v>X</v>
      </c>
      <c r="AV12" s="40" t="b">
        <f>IF(ISNUMBER(AS12), IF(AU12=$H12,IF(AS12=$F12,IF(AT12=$G12,IF($F12-$G12&gt;=3,6,IF($G12-$F12&gt;=3,6,IF($F12+$G12&gt;=4,6,5))),3),3),0))</f>
        <v>0</v>
      </c>
      <c r="AW12" s="37"/>
      <c r="AX12" s="38"/>
      <c r="AY12" s="39" t="str">
        <f t="shared" si="12"/>
        <v>X</v>
      </c>
      <c r="AZ12" s="40" t="b">
        <f>IF(ISNUMBER(AW12), IF(AY12=$H12,IF(AW12=$F12,IF(AX12=$G12,IF($F12-$G12&gt;=3,6,IF($G12-$F12&gt;=3,6,IF($F12+$G12&gt;=4,6,5))),3),3),0))</f>
        <v>0</v>
      </c>
      <c r="BA12" s="37"/>
      <c r="BB12" s="38"/>
      <c r="BC12" s="39" t="str">
        <f t="shared" si="13"/>
        <v>X</v>
      </c>
      <c r="BD12" s="40" t="b">
        <f>IF(ISNUMBER(BA12), IF(BC12=$H12,IF(BA12=$F12,IF(BB12=$G12,IF($F12-$G12&gt;=3,6,IF($G12-$F12&gt;=3,6,IF($F12+$G12&gt;=4,6,5))),3),3),0))</f>
        <v>0</v>
      </c>
      <c r="BE12" s="37"/>
      <c r="BF12" s="38"/>
      <c r="BG12" s="39" t="str">
        <f t="shared" si="14"/>
        <v>X</v>
      </c>
      <c r="BH12" s="40" t="b">
        <f>IF(ISNUMBER(BE12), IF(BG12=$H12,IF(BE12=$F12,IF(BF12=$G12,IF($F12-$G12&gt;=3,6,IF($G12-$F12&gt;=3,6,IF($F12+$G12&gt;=4,6,5))),3),3),0))</f>
        <v>0</v>
      </c>
      <c r="BI12" s="37"/>
      <c r="BJ12" s="38"/>
      <c r="BK12" s="39" t="str">
        <f t="shared" si="15"/>
        <v>X</v>
      </c>
      <c r="BL12" s="40" t="b">
        <f>IF(ISNUMBER(BI12), IF(BK12=$H12,IF(BI12=$F12,IF(BJ12=$G12,IF($F12-$G12&gt;=3,6,IF($G12-$F12&gt;=3,6,IF($F12+$G12&gt;=4,6,5))),3),3),0))</f>
        <v>0</v>
      </c>
      <c r="BM12" s="37"/>
      <c r="BN12" s="38"/>
      <c r="BO12" s="39" t="str">
        <f t="shared" si="16"/>
        <v>X</v>
      </c>
      <c r="BP12" s="40" t="b">
        <f>IF(ISNUMBER(BM12), IF(BO12=$H12,IF(BM12=$F12,IF(BN12=$G12,IF($F12-$G12&gt;=3,6,IF($G12-$F12&gt;=3,6,IF($F12+$G12&gt;=4,6,5))),3),3),0))</f>
        <v>0</v>
      </c>
      <c r="BQ12" s="37"/>
      <c r="BR12" s="38"/>
      <c r="BS12" s="39" t="str">
        <f t="shared" si="17"/>
        <v>X</v>
      </c>
      <c r="BT12" s="40" t="b">
        <f>IF(ISNUMBER(BQ12), IF(BS12=$H12,IF(BQ12=$F12,IF(BR12=$G12,IF($F12-$G12&gt;=3,6,IF($G12-$F12&gt;=3,6,IF($F12+$G12&gt;=4,6,5))),3),3),0))</f>
        <v>0</v>
      </c>
      <c r="BU12" s="37"/>
      <c r="BV12" s="38"/>
      <c r="BW12" s="39" t="str">
        <f t="shared" si="18"/>
        <v>X</v>
      </c>
      <c r="BX12" s="40" t="b">
        <f>IF(ISNUMBER(BU12), IF(BW12=$H12,IF(BU12=$F12,IF(BV12=$G12,IF($F12-$G12&gt;=3,6,IF($G12-$F12&gt;=3,6,IF($F12+$G12&gt;=4,6,5))),3),3),0))</f>
        <v>0</v>
      </c>
      <c r="BY12" s="37"/>
      <c r="BZ12" s="38"/>
      <c r="CA12" s="39" t="str">
        <f t="shared" si="19"/>
        <v>X</v>
      </c>
      <c r="CB12" s="40" t="b">
        <f>IF(ISNUMBER(BY12), IF(CA12=$H12,IF(BY12=$F12,IF(BZ12=$G12,IF($F12-$G12&gt;=3,6,IF($G12-$F12&gt;=3,6,IF($F12+$G12&gt;=4,6,5))),3),3),0))</f>
        <v>0</v>
      </c>
      <c r="CC12" s="37"/>
      <c r="CD12" s="38"/>
      <c r="CE12" s="39" t="str">
        <f t="shared" si="20"/>
        <v>X</v>
      </c>
      <c r="CF12" s="40" t="b">
        <f>IF(ISNUMBER(CC12), IF(CE12=$H12,IF(CC12=$F12,IF(CD12=$G12,IF($F12-$G12&gt;=3,6,IF($G12-$F12&gt;=3,6,IF($F12+$G12&gt;=4,6,5))),3),3),0))</f>
        <v>0</v>
      </c>
      <c r="CG12" s="37"/>
      <c r="CH12" s="38"/>
      <c r="CI12" s="39" t="str">
        <f t="shared" si="21"/>
        <v>X</v>
      </c>
      <c r="CJ12" s="40" t="b">
        <f>IF(ISNUMBER(CG12), IF(CI12=$H12,IF(CG12=$F12,IF(CH12=$G12,IF($F12-$G12&gt;=3,6,IF($G12-$F12&gt;=3,6,IF($F12+$G12&gt;=4,6,5))),3),3),0))</f>
        <v>0</v>
      </c>
      <c r="CK12" s="37"/>
      <c r="CL12" s="38"/>
      <c r="CM12" s="39" t="str">
        <f t="shared" si="22"/>
        <v>X</v>
      </c>
      <c r="CN12" s="40" t="b">
        <f>IF(ISNUMBER(CK12), IF(CM12=$H12,IF(CK12=$F12,IF(CL12=$G12,IF($F12-$G12&gt;=3,6,IF($G12-$F12&gt;=3,6,IF($F12+$G12&gt;=4,6,5))),3),3),0))</f>
        <v>0</v>
      </c>
      <c r="CO12" s="37"/>
      <c r="CP12" s="38"/>
      <c r="CQ12" s="39" t="str">
        <f t="shared" si="23"/>
        <v>X</v>
      </c>
      <c r="CR12" s="40" t="b">
        <f>IF(ISNUMBER(CO12), IF(CQ12=$H12,IF(CO12=$F12,IF(CP12=$G12,IF($F12-$G12&gt;=3,6,IF($G12-$F12&gt;=3,6,IF($F12+$G12&gt;=4,6,5))),3),3),0))</f>
        <v>0</v>
      </c>
      <c r="CS12" s="37"/>
      <c r="CT12" s="38"/>
      <c r="CU12" s="39" t="str">
        <f t="shared" si="24"/>
        <v>X</v>
      </c>
      <c r="CV12" s="40" t="b">
        <f>IF(ISNUMBER(CS12), IF(CU12=$H12,IF(CS12=$F12,IF(CT12=$G12,IF($F12-$G12&gt;=3,6,IF($G12-$F12&gt;=3,6,IF($F12+$G12&gt;=4,6,5))),3),3),0))</f>
        <v>0</v>
      </c>
      <c r="CW12" s="37"/>
      <c r="CX12" s="38"/>
      <c r="CY12" s="39" t="str">
        <f t="shared" si="25"/>
        <v>X</v>
      </c>
      <c r="CZ12" s="40" t="b">
        <f>IF(ISNUMBER(CW12), IF(CY12=$H12,IF(CW12=$F12,IF(CX12=$G12,IF($F12-$G12&gt;=3,6,IF($G12-$F12&gt;=3,6,IF($F12+$G12&gt;=4,6,5))),3),3),0))</f>
        <v>0</v>
      </c>
      <c r="DA12" s="37"/>
      <c r="DB12" s="38"/>
      <c r="DC12" s="39" t="str">
        <f t="shared" si="26"/>
        <v>X</v>
      </c>
      <c r="DD12" s="40" t="b">
        <f>IF(ISNUMBER(DA12), IF(DC12=$H12,IF(DA12=$F12,IF(DB12=$G12,IF($F12-$G12&gt;=3,6,IF($G12-$F12&gt;=3,6,IF($F12+$G12&gt;=4,6,5))),3),3),0))</f>
        <v>0</v>
      </c>
      <c r="DE12" s="37"/>
      <c r="DF12" s="38"/>
      <c r="DG12" s="39" t="str">
        <f t="shared" si="27"/>
        <v>X</v>
      </c>
      <c r="DH12" s="40" t="b">
        <f>IF(ISNUMBER(DE12), IF(DG12=$H12,IF(DE12=$F12,IF(DF12=$G12,IF($F12-$G12&gt;=3,6,IF($G12-$F12&gt;=3,6,IF($F12+$G12&gt;=4,6,5))),3),3),0))</f>
        <v>0</v>
      </c>
      <c r="DI12" s="37"/>
      <c r="DJ12" s="38"/>
      <c r="DK12" s="39" t="str">
        <f t="shared" si="28"/>
        <v>X</v>
      </c>
      <c r="DL12" s="40" t="b">
        <f>IF(ISNUMBER(DI12), IF(DK12=$H12,IF(DI12=$F12,IF(DJ12=$G12,IF($F12-$G12&gt;=3,6,IF($G12-$F12&gt;=3,6,IF($F12+$G12&gt;=4,6,5))),3),3),0))</f>
        <v>0</v>
      </c>
      <c r="DM12" s="37"/>
      <c r="DN12" s="38"/>
      <c r="DO12" s="39" t="str">
        <f t="shared" si="29"/>
        <v>X</v>
      </c>
      <c r="DP12" s="40" t="b">
        <f>IF(ISNUMBER(DM12), IF(DO12=$H12,IF(DM12=$F12,IF(DN12=$G12,IF($F12-$G12&gt;=3,6,IF($G12-$F12&gt;=3,6,IF($F12+$G12&gt;=4,6,5))),3),3),0))</f>
        <v>0</v>
      </c>
    </row>
    <row r="13" spans="1:120" ht="13" customHeight="1" thickBot="1">
      <c r="A13" s="41"/>
      <c r="B13" s="42"/>
      <c r="C13" s="43"/>
      <c r="D13" s="44" t="s">
        <v>142</v>
      </c>
      <c r="E13" s="33">
        <f t="shared" si="0"/>
        <v>0</v>
      </c>
      <c r="F13" s="45"/>
      <c r="G13" s="46"/>
      <c r="H13" s="47" t="b">
        <f t="shared" si="1"/>
        <v>0</v>
      </c>
      <c r="I13" s="48"/>
      <c r="J13" s="49"/>
      <c r="K13" s="50" t="str">
        <f t="shared" si="2"/>
        <v>X</v>
      </c>
      <c r="L13" s="51" t="b">
        <f>IF(ISNUMBER(I13), IF(K13=$H13,IF(I13=$F13,IF(J13=$G13,2,1),1),0))</f>
        <v>0</v>
      </c>
      <c r="M13" s="48"/>
      <c r="N13" s="49"/>
      <c r="O13" s="50" t="str">
        <f t="shared" si="3"/>
        <v>X</v>
      </c>
      <c r="P13" s="51" t="b">
        <f>IF(ISNUMBER(M13), IF(O13=$H13,IF(M13=$F13,IF(N13=$G13,2,1),1),0))</f>
        <v>0</v>
      </c>
      <c r="Q13" s="48"/>
      <c r="R13" s="49"/>
      <c r="S13" s="50" t="str">
        <f t="shared" si="4"/>
        <v>X</v>
      </c>
      <c r="T13" s="51" t="b">
        <f>IF(ISNUMBER(Q13), IF(S13=$H13,IF(Q13=$F13,IF(R13=$G13,2,1),1),0))</f>
        <v>0</v>
      </c>
      <c r="U13" s="48"/>
      <c r="V13" s="49"/>
      <c r="W13" s="50" t="str">
        <f t="shared" si="5"/>
        <v>X</v>
      </c>
      <c r="X13" s="51" t="b">
        <f>IF(ISNUMBER(U13), IF(W13=$H13,IF(U13=$F13,IF(V13=$G13,2,1),1),0))</f>
        <v>0</v>
      </c>
      <c r="Y13" s="48"/>
      <c r="Z13" s="49"/>
      <c r="AA13" s="50" t="str">
        <f t="shared" si="6"/>
        <v>X</v>
      </c>
      <c r="AB13" s="51" t="b">
        <f>IF(ISNUMBER(Y13), IF(AA13=$H13,IF(Y13=$F13,IF(Z13=$G13,2,1),1),0))</f>
        <v>0</v>
      </c>
      <c r="AC13" s="48"/>
      <c r="AD13" s="49"/>
      <c r="AE13" s="50" t="str">
        <f t="shared" si="7"/>
        <v>X</v>
      </c>
      <c r="AF13" s="51" t="b">
        <f>IF(ISNUMBER(AC13), IF(AE13=$H13,IF(AC13=$F13,IF(AD13=$G13,2,1),1),0))</f>
        <v>0</v>
      </c>
      <c r="AG13" s="48"/>
      <c r="AH13" s="49"/>
      <c r="AI13" s="50" t="str">
        <f t="shared" si="8"/>
        <v>X</v>
      </c>
      <c r="AJ13" s="51" t="b">
        <f>IF(ISNUMBER(AG13), IF(AI13=$H13,IF(AG13=$F13,IF(AH13=$G13,2,1),1),0))</f>
        <v>0</v>
      </c>
      <c r="AK13" s="48"/>
      <c r="AL13" s="49"/>
      <c r="AM13" s="50" t="str">
        <f t="shared" si="9"/>
        <v>X</v>
      </c>
      <c r="AN13" s="51" t="b">
        <f>IF(ISNUMBER(AK13), IF(AM13=$H13,IF(AK13=$F13,IF(AL13=$G13,2,1),1),0))</f>
        <v>0</v>
      </c>
      <c r="AO13" s="48"/>
      <c r="AP13" s="49"/>
      <c r="AQ13" s="50" t="str">
        <f t="shared" si="10"/>
        <v>X</v>
      </c>
      <c r="AR13" s="51" t="b">
        <f>IF(ISNUMBER(AO13), IF(AQ13=$H13,IF(AO13=$F13,IF(AP13=$G13,2,1),1),0))</f>
        <v>0</v>
      </c>
      <c r="AS13" s="48"/>
      <c r="AT13" s="49"/>
      <c r="AU13" s="50" t="str">
        <f t="shared" si="11"/>
        <v>X</v>
      </c>
      <c r="AV13" s="51" t="b">
        <f>IF(ISNUMBER(AS13), IF(AU13=$H13,IF(AS13=$F13,IF(AT13=$G13,2,1),1),0))</f>
        <v>0</v>
      </c>
      <c r="AW13" s="48"/>
      <c r="AX13" s="49"/>
      <c r="AY13" s="50" t="str">
        <f t="shared" si="12"/>
        <v>X</v>
      </c>
      <c r="AZ13" s="51" t="b">
        <f>IF(ISNUMBER(AW13), IF(AY13=$H13,IF(AW13=$F13,IF(AX13=$G13,2,1),1),0))</f>
        <v>0</v>
      </c>
      <c r="BA13" s="48"/>
      <c r="BB13" s="49"/>
      <c r="BC13" s="50" t="str">
        <f t="shared" si="13"/>
        <v>X</v>
      </c>
      <c r="BD13" s="51" t="b">
        <f>IF(ISNUMBER(BA13), IF(BC13=$H13,IF(BA13=$F13,IF(BB13=$G13,2,1),1),0))</f>
        <v>0</v>
      </c>
      <c r="BE13" s="48"/>
      <c r="BF13" s="49"/>
      <c r="BG13" s="50" t="str">
        <f t="shared" si="14"/>
        <v>X</v>
      </c>
      <c r="BH13" s="51" t="b">
        <f>IF(ISNUMBER(BE13), IF(BG13=$H13,IF(BE13=$F13,IF(BF13=$G13,2,1),1),0))</f>
        <v>0</v>
      </c>
      <c r="BI13" s="48"/>
      <c r="BJ13" s="49"/>
      <c r="BK13" s="50" t="str">
        <f t="shared" si="15"/>
        <v>X</v>
      </c>
      <c r="BL13" s="51" t="b">
        <f>IF(ISNUMBER(BI13), IF(BK13=$H13,IF(BI13=$F13,IF(BJ13=$G13,2,1),1),0))</f>
        <v>0</v>
      </c>
      <c r="BM13" s="48"/>
      <c r="BN13" s="49"/>
      <c r="BO13" s="50" t="str">
        <f t="shared" si="16"/>
        <v>X</v>
      </c>
      <c r="BP13" s="51" t="b">
        <f>IF(ISNUMBER(BM13), IF(BO13=$H13,IF(BM13=$F13,IF(BN13=$G13,2,1),1),0))</f>
        <v>0</v>
      </c>
      <c r="BQ13" s="48"/>
      <c r="BR13" s="49"/>
      <c r="BS13" s="50" t="str">
        <f t="shared" si="17"/>
        <v>X</v>
      </c>
      <c r="BT13" s="51" t="b">
        <f>IF(ISNUMBER(BQ13), IF(BS13=$H13,IF(BQ13=$F13,IF(BR13=$G13,2,1),1),0))</f>
        <v>0</v>
      </c>
      <c r="BU13" s="48"/>
      <c r="BV13" s="49"/>
      <c r="BW13" s="50" t="str">
        <f t="shared" si="18"/>
        <v>X</v>
      </c>
      <c r="BX13" s="51" t="b">
        <f>IF(ISNUMBER(BU13), IF(BW13=$H13,IF(BU13=$F13,IF(BV13=$G13,2,1),1),0))</f>
        <v>0</v>
      </c>
      <c r="BY13" s="48"/>
      <c r="BZ13" s="49"/>
      <c r="CA13" s="50" t="str">
        <f t="shared" si="19"/>
        <v>X</v>
      </c>
      <c r="CB13" s="51" t="b">
        <f>IF(ISNUMBER(BY13), IF(CA13=$H13,IF(BY13=$F13,IF(BZ13=$G13,2,1),1),0))</f>
        <v>0</v>
      </c>
      <c r="CC13" s="48"/>
      <c r="CD13" s="49"/>
      <c r="CE13" s="50" t="str">
        <f t="shared" si="20"/>
        <v>X</v>
      </c>
      <c r="CF13" s="51" t="b">
        <f>IF(ISNUMBER(CC13), IF(CE13=$H13,IF(CC13=$F13,IF(CD13=$G13,2,1),1),0))</f>
        <v>0</v>
      </c>
      <c r="CG13" s="48"/>
      <c r="CH13" s="49"/>
      <c r="CI13" s="50" t="str">
        <f t="shared" si="21"/>
        <v>X</v>
      </c>
      <c r="CJ13" s="51" t="b">
        <f>IF(ISNUMBER(CG13), IF(CI13=$H13,IF(CG13=$F13,IF(CH13=$G13,2,1),1),0))</f>
        <v>0</v>
      </c>
      <c r="CK13" s="48"/>
      <c r="CL13" s="49"/>
      <c r="CM13" s="50" t="str">
        <f t="shared" si="22"/>
        <v>X</v>
      </c>
      <c r="CN13" s="51" t="b">
        <f>IF(ISNUMBER(CK13), IF(CM13=$H13,IF(CK13=$F13,IF(CL13=$G13,2,1),1),0))</f>
        <v>0</v>
      </c>
      <c r="CO13" s="48"/>
      <c r="CP13" s="49"/>
      <c r="CQ13" s="50" t="str">
        <f t="shared" si="23"/>
        <v>X</v>
      </c>
      <c r="CR13" s="51" t="b">
        <f>IF(ISNUMBER(CO13), IF(CQ13=$H13,IF(CO13=$F13,IF(CP13=$G13,2,1),1),0))</f>
        <v>0</v>
      </c>
      <c r="CS13" s="48"/>
      <c r="CT13" s="49"/>
      <c r="CU13" s="50" t="str">
        <f t="shared" si="24"/>
        <v>X</v>
      </c>
      <c r="CV13" s="51" t="b">
        <f>IF(ISNUMBER(CS13), IF(CU13=$H13,IF(CS13=$F13,IF(CT13=$G13,2,1),1),0))</f>
        <v>0</v>
      </c>
      <c r="CW13" s="48"/>
      <c r="CX13" s="49"/>
      <c r="CY13" s="50" t="str">
        <f t="shared" si="25"/>
        <v>X</v>
      </c>
      <c r="CZ13" s="51" t="b">
        <f>IF(ISNUMBER(CW13), IF(CY13=$H13,IF(CW13=$F13,IF(CX13=$G13,2,1),1),0))</f>
        <v>0</v>
      </c>
      <c r="DA13" s="48"/>
      <c r="DB13" s="49"/>
      <c r="DC13" s="50" t="str">
        <f t="shared" si="26"/>
        <v>X</v>
      </c>
      <c r="DD13" s="51" t="b">
        <f>IF(ISNUMBER(DA13), IF(DC13=$H13,IF(DA13=$F13,IF(DB13=$G13,2,1),1),0))</f>
        <v>0</v>
      </c>
      <c r="DE13" s="48"/>
      <c r="DF13" s="49"/>
      <c r="DG13" s="50" t="str">
        <f t="shared" si="27"/>
        <v>X</v>
      </c>
      <c r="DH13" s="51" t="b">
        <f>IF(ISNUMBER(DE13), IF(DG13=$H13,IF(DE13=$F13,IF(DF13=$G13,2,1),1),0))</f>
        <v>0</v>
      </c>
      <c r="DI13" s="48"/>
      <c r="DJ13" s="49"/>
      <c r="DK13" s="50" t="str">
        <f t="shared" si="28"/>
        <v>X</v>
      </c>
      <c r="DL13" s="51" t="b">
        <f>IF(ISNUMBER(DI13), IF(DK13=$H13,IF(DI13=$F13,IF(DJ13=$G13,2,1),1),0))</f>
        <v>0</v>
      </c>
      <c r="DM13" s="48"/>
      <c r="DN13" s="49"/>
      <c r="DO13" s="50" t="str">
        <f t="shared" si="29"/>
        <v>X</v>
      </c>
      <c r="DP13" s="51" t="b">
        <f>IF(ISNUMBER(DM13), IF(DO13=$H13,IF(DM13=$F13,IF(DN13=$G13,2,1),1),0))</f>
        <v>0</v>
      </c>
    </row>
    <row r="14" spans="1:120" ht="13" customHeight="1" thickBot="1">
      <c r="A14" s="41"/>
      <c r="B14" s="42"/>
      <c r="C14" s="43"/>
      <c r="D14" s="44" t="s">
        <v>143</v>
      </c>
      <c r="E14" s="33">
        <f t="shared" si="0"/>
        <v>0</v>
      </c>
      <c r="F14" s="45"/>
      <c r="G14" s="46"/>
      <c r="H14" s="47" t="b">
        <f t="shared" si="1"/>
        <v>0</v>
      </c>
      <c r="I14" s="48"/>
      <c r="J14" s="49"/>
      <c r="K14" s="50" t="str">
        <f t="shared" si="2"/>
        <v>X</v>
      </c>
      <c r="L14" s="51" t="b">
        <f>IF(ISNUMBER(I14), IF(K14=$H14,IF(I14=$F14,IF(J14=$G14,2,1),1),0))</f>
        <v>0</v>
      </c>
      <c r="M14" s="48"/>
      <c r="N14" s="49"/>
      <c r="O14" s="50" t="str">
        <f t="shared" si="3"/>
        <v>X</v>
      </c>
      <c r="P14" s="51" t="b">
        <f>IF(ISNUMBER(M14), IF(O14=$H14,IF(M14=$F14,IF(N14=$G14,2,1),1),0))</f>
        <v>0</v>
      </c>
      <c r="Q14" s="48"/>
      <c r="R14" s="49"/>
      <c r="S14" s="50" t="str">
        <f t="shared" si="4"/>
        <v>X</v>
      </c>
      <c r="T14" s="51" t="b">
        <f>IF(ISNUMBER(Q14), IF(S14=$H14,IF(Q14=$F14,IF(R14=$G14,2,1),1),0))</f>
        <v>0</v>
      </c>
      <c r="U14" s="48"/>
      <c r="V14" s="49"/>
      <c r="W14" s="50" t="str">
        <f t="shared" si="5"/>
        <v>X</v>
      </c>
      <c r="X14" s="51" t="b">
        <f>IF(ISNUMBER(U14), IF(W14=$H14,IF(U14=$F14,IF(V14=$G14,2,1),1),0))</f>
        <v>0</v>
      </c>
      <c r="Y14" s="48"/>
      <c r="Z14" s="49"/>
      <c r="AA14" s="50" t="str">
        <f t="shared" si="6"/>
        <v>X</v>
      </c>
      <c r="AB14" s="51" t="b">
        <f>IF(ISNUMBER(Y14), IF(AA14=$H14,IF(Y14=$F14,IF(Z14=$G14,2,1),1),0))</f>
        <v>0</v>
      </c>
      <c r="AC14" s="48"/>
      <c r="AD14" s="49"/>
      <c r="AE14" s="50" t="str">
        <f t="shared" si="7"/>
        <v>X</v>
      </c>
      <c r="AF14" s="51" t="b">
        <f>IF(ISNUMBER(AC14), IF(AE14=$H14,IF(AC14=$F14,IF(AD14=$G14,2,1),1),0))</f>
        <v>0</v>
      </c>
      <c r="AG14" s="48"/>
      <c r="AH14" s="49"/>
      <c r="AI14" s="50" t="str">
        <f t="shared" si="8"/>
        <v>X</v>
      </c>
      <c r="AJ14" s="51" t="b">
        <f>IF(ISNUMBER(AG14), IF(AI14=$H14,IF(AG14=$F14,IF(AH14=$G14,2,1),1),0))</f>
        <v>0</v>
      </c>
      <c r="AK14" s="48"/>
      <c r="AL14" s="49"/>
      <c r="AM14" s="50" t="str">
        <f t="shared" si="9"/>
        <v>X</v>
      </c>
      <c r="AN14" s="51" t="b">
        <f>IF(ISNUMBER(AK14), IF(AM14=$H14,IF(AK14=$F14,IF(AL14=$G14,2,1),1),0))</f>
        <v>0</v>
      </c>
      <c r="AO14" s="48"/>
      <c r="AP14" s="49"/>
      <c r="AQ14" s="50" t="str">
        <f t="shared" si="10"/>
        <v>X</v>
      </c>
      <c r="AR14" s="51" t="b">
        <f>IF(ISNUMBER(AO14), IF(AQ14=$H14,IF(AO14=$F14,IF(AP14=$G14,2,1),1),0))</f>
        <v>0</v>
      </c>
      <c r="AS14" s="48"/>
      <c r="AT14" s="49"/>
      <c r="AU14" s="50" t="str">
        <f t="shared" si="11"/>
        <v>X</v>
      </c>
      <c r="AV14" s="51" t="b">
        <f>IF(ISNUMBER(AS14), IF(AU14=$H14,IF(AS14=$F14,IF(AT14=$G14,2,1),1),0))</f>
        <v>0</v>
      </c>
      <c r="AW14" s="48"/>
      <c r="AX14" s="49"/>
      <c r="AY14" s="50" t="str">
        <f t="shared" si="12"/>
        <v>X</v>
      </c>
      <c r="AZ14" s="51" t="b">
        <f>IF(ISNUMBER(AW14), IF(AY14=$H14,IF(AW14=$F14,IF(AX14=$G14,2,1),1),0))</f>
        <v>0</v>
      </c>
      <c r="BA14" s="48"/>
      <c r="BB14" s="49"/>
      <c r="BC14" s="50" t="str">
        <f t="shared" si="13"/>
        <v>X</v>
      </c>
      <c r="BD14" s="51" t="b">
        <f>IF(ISNUMBER(BA14), IF(BC14=$H14,IF(BA14=$F14,IF(BB14=$G14,2,1),1),0))</f>
        <v>0</v>
      </c>
      <c r="BE14" s="48"/>
      <c r="BF14" s="49"/>
      <c r="BG14" s="50" t="str">
        <f t="shared" si="14"/>
        <v>X</v>
      </c>
      <c r="BH14" s="51" t="b">
        <f>IF(ISNUMBER(BE14), IF(BG14=$H14,IF(BE14=$F14,IF(BF14=$G14,2,1),1),0))</f>
        <v>0</v>
      </c>
      <c r="BI14" s="48"/>
      <c r="BJ14" s="49"/>
      <c r="BK14" s="50" t="str">
        <f t="shared" si="15"/>
        <v>X</v>
      </c>
      <c r="BL14" s="51" t="b">
        <f>IF(ISNUMBER(BI14), IF(BK14=$H14,IF(BI14=$F14,IF(BJ14=$G14,2,1),1),0))</f>
        <v>0</v>
      </c>
      <c r="BM14" s="48"/>
      <c r="BN14" s="49"/>
      <c r="BO14" s="50" t="str">
        <f t="shared" si="16"/>
        <v>X</v>
      </c>
      <c r="BP14" s="51" t="b">
        <f>IF(ISNUMBER(BM14), IF(BO14=$H14,IF(BM14=$F14,IF(BN14=$G14,2,1),1),0))</f>
        <v>0</v>
      </c>
      <c r="BQ14" s="48"/>
      <c r="BR14" s="49"/>
      <c r="BS14" s="50" t="str">
        <f t="shared" si="17"/>
        <v>X</v>
      </c>
      <c r="BT14" s="51" t="b">
        <f>IF(ISNUMBER(BQ14), IF(BS14=$H14,IF(BQ14=$F14,IF(BR14=$G14,2,1),1),0))</f>
        <v>0</v>
      </c>
      <c r="BU14" s="48"/>
      <c r="BV14" s="49"/>
      <c r="BW14" s="50" t="str">
        <f t="shared" si="18"/>
        <v>X</v>
      </c>
      <c r="BX14" s="51" t="b">
        <f>IF(ISNUMBER(BU14), IF(BW14=$H14,IF(BU14=$F14,IF(BV14=$G14,2,1),1),0))</f>
        <v>0</v>
      </c>
      <c r="BY14" s="48"/>
      <c r="BZ14" s="49"/>
      <c r="CA14" s="50" t="str">
        <f t="shared" si="19"/>
        <v>X</v>
      </c>
      <c r="CB14" s="51" t="b">
        <f>IF(ISNUMBER(BY14), IF(CA14=$H14,IF(BY14=$F14,IF(BZ14=$G14,2,1),1),0))</f>
        <v>0</v>
      </c>
      <c r="CC14" s="48"/>
      <c r="CD14" s="49"/>
      <c r="CE14" s="50" t="str">
        <f t="shared" si="20"/>
        <v>X</v>
      </c>
      <c r="CF14" s="51" t="b">
        <f>IF(ISNUMBER(CC14), IF(CE14=$H14,IF(CC14=$F14,IF(CD14=$G14,2,1),1),0))</f>
        <v>0</v>
      </c>
      <c r="CG14" s="48"/>
      <c r="CH14" s="49"/>
      <c r="CI14" s="50" t="str">
        <f t="shared" si="21"/>
        <v>X</v>
      </c>
      <c r="CJ14" s="51" t="b">
        <f>IF(ISNUMBER(CG14), IF(CI14=$H14,IF(CG14=$F14,IF(CH14=$G14,2,1),1),0))</f>
        <v>0</v>
      </c>
      <c r="CK14" s="48"/>
      <c r="CL14" s="49"/>
      <c r="CM14" s="50" t="str">
        <f t="shared" si="22"/>
        <v>X</v>
      </c>
      <c r="CN14" s="51" t="b">
        <f>IF(ISNUMBER(CK14), IF(CM14=$H14,IF(CK14=$F14,IF(CL14=$G14,2,1),1),0))</f>
        <v>0</v>
      </c>
      <c r="CO14" s="48"/>
      <c r="CP14" s="49"/>
      <c r="CQ14" s="50" t="str">
        <f t="shared" si="23"/>
        <v>X</v>
      </c>
      <c r="CR14" s="51" t="b">
        <f>IF(ISNUMBER(CO14), IF(CQ14=$H14,IF(CO14=$F14,IF(CP14=$G14,2,1),1),0))</f>
        <v>0</v>
      </c>
      <c r="CS14" s="48"/>
      <c r="CT14" s="49"/>
      <c r="CU14" s="50" t="str">
        <f t="shared" si="24"/>
        <v>X</v>
      </c>
      <c r="CV14" s="51" t="b">
        <f>IF(ISNUMBER(CS14), IF(CU14=$H14,IF(CS14=$F14,IF(CT14=$G14,2,1),1),0))</f>
        <v>0</v>
      </c>
      <c r="CW14" s="48"/>
      <c r="CX14" s="49"/>
      <c r="CY14" s="50" t="str">
        <f t="shared" si="25"/>
        <v>X</v>
      </c>
      <c r="CZ14" s="51" t="b">
        <f>IF(ISNUMBER(CW14), IF(CY14=$H14,IF(CW14=$F14,IF(CX14=$G14,2,1),1),0))</f>
        <v>0</v>
      </c>
      <c r="DA14" s="48"/>
      <c r="DB14" s="49"/>
      <c r="DC14" s="50" t="str">
        <f t="shared" si="26"/>
        <v>X</v>
      </c>
      <c r="DD14" s="51" t="b">
        <f>IF(ISNUMBER(DA14), IF(DC14=$H14,IF(DA14=$F14,IF(DB14=$G14,2,1),1),0))</f>
        <v>0</v>
      </c>
      <c r="DE14" s="48"/>
      <c r="DF14" s="49"/>
      <c r="DG14" s="50" t="str">
        <f t="shared" si="27"/>
        <v>X</v>
      </c>
      <c r="DH14" s="51" t="b">
        <f>IF(ISNUMBER(DE14), IF(DG14=$H14,IF(DE14=$F14,IF(DF14=$G14,2,1),1),0))</f>
        <v>0</v>
      </c>
      <c r="DI14" s="48"/>
      <c r="DJ14" s="49"/>
      <c r="DK14" s="50" t="str">
        <f t="shared" si="28"/>
        <v>X</v>
      </c>
      <c r="DL14" s="51" t="b">
        <f>IF(ISNUMBER(DI14), IF(DK14=$H14,IF(DI14=$F14,IF(DJ14=$G14,2,1),1),0))</f>
        <v>0</v>
      </c>
      <c r="DM14" s="48"/>
      <c r="DN14" s="49"/>
      <c r="DO14" s="50" t="str">
        <f t="shared" si="29"/>
        <v>X</v>
      </c>
      <c r="DP14" s="51" t="b">
        <f>IF(ISNUMBER(DM14), IF(DO14=$H14,IF(DM14=$F14,IF(DN14=$G14,2,1),1),0))</f>
        <v>0</v>
      </c>
    </row>
    <row r="15" spans="1:120" s="25" customFormat="1" ht="13" customHeight="1" thickBot="1">
      <c r="A15" s="52"/>
      <c r="B15" s="53"/>
      <c r="C15" s="54"/>
      <c r="D15" s="55" t="s">
        <v>144</v>
      </c>
      <c r="E15" s="33">
        <f t="shared" si="0"/>
        <v>0</v>
      </c>
      <c r="F15" s="56"/>
      <c r="G15" s="56"/>
      <c r="H15" s="57" t="b">
        <f t="shared" si="1"/>
        <v>0</v>
      </c>
      <c r="I15" s="58">
        <f>SUM(I12:I14)</f>
        <v>0</v>
      </c>
      <c r="J15" s="59">
        <f>SUM(J12:J14)</f>
        <v>0</v>
      </c>
      <c r="K15" s="59" t="str">
        <f t="shared" si="2"/>
        <v>X</v>
      </c>
      <c r="L15" s="60">
        <f>IF($H15=K15,SUM(L12:L14)+1,SUM(L12:L14))</f>
        <v>0</v>
      </c>
      <c r="M15" s="58">
        <f>SUM(M12:M14)</f>
        <v>0</v>
      </c>
      <c r="N15" s="59">
        <f>SUM(N12:N14)</f>
        <v>0</v>
      </c>
      <c r="O15" s="59" t="str">
        <f t="shared" si="3"/>
        <v>X</v>
      </c>
      <c r="P15" s="60">
        <f>IF($H15=O15,SUM(P12:P14)+1,SUM(P12:P14))</f>
        <v>0</v>
      </c>
      <c r="Q15" s="58">
        <f>SUM(Q12:Q14)</f>
        <v>0</v>
      </c>
      <c r="R15" s="59">
        <f>SUM(R12:R14)</f>
        <v>0</v>
      </c>
      <c r="S15" s="59" t="str">
        <f t="shared" si="4"/>
        <v>X</v>
      </c>
      <c r="T15" s="60">
        <f>IF($H15=S15,SUM(T12:T14)+1,SUM(T12:T14))</f>
        <v>0</v>
      </c>
      <c r="U15" s="58">
        <f>SUM(U12:U14)</f>
        <v>0</v>
      </c>
      <c r="V15" s="59">
        <f>SUM(V12:V14)</f>
        <v>0</v>
      </c>
      <c r="W15" s="59" t="str">
        <f t="shared" si="5"/>
        <v>X</v>
      </c>
      <c r="X15" s="60">
        <f>IF($H15=W15,SUM(X12:X14)+1,SUM(X12:X14))</f>
        <v>0</v>
      </c>
      <c r="Y15" s="58">
        <f>SUM(Y12:Y14)</f>
        <v>0</v>
      </c>
      <c r="Z15" s="59">
        <f>SUM(Z12:Z14)</f>
        <v>0</v>
      </c>
      <c r="AA15" s="59" t="str">
        <f t="shared" si="6"/>
        <v>X</v>
      </c>
      <c r="AB15" s="60">
        <f>IF($H15=AA15,SUM(AB12:AB14)+1,SUM(AB12:AB14))</f>
        <v>0</v>
      </c>
      <c r="AC15" s="58">
        <f>SUM(AC12:AC14)</f>
        <v>0</v>
      </c>
      <c r="AD15" s="59">
        <f>SUM(AD12:AD14)</f>
        <v>0</v>
      </c>
      <c r="AE15" s="59" t="str">
        <f t="shared" si="7"/>
        <v>X</v>
      </c>
      <c r="AF15" s="60">
        <f>IF($H15=AE15,SUM(AF12:AF14)+1,SUM(AF12:AF14))</f>
        <v>0</v>
      </c>
      <c r="AG15" s="58">
        <f>SUM(AG12:AG14)</f>
        <v>0</v>
      </c>
      <c r="AH15" s="59">
        <f>SUM(AH12:AH14)</f>
        <v>0</v>
      </c>
      <c r="AI15" s="59" t="str">
        <f t="shared" si="8"/>
        <v>X</v>
      </c>
      <c r="AJ15" s="60">
        <f>IF($H15=AI15,SUM(AJ12:AJ14)+1,SUM(AJ12:AJ14))</f>
        <v>0</v>
      </c>
      <c r="AK15" s="58">
        <f>SUM(AK12:AK14)</f>
        <v>0</v>
      </c>
      <c r="AL15" s="59">
        <f>SUM(AL12:AL14)</f>
        <v>0</v>
      </c>
      <c r="AM15" s="59" t="str">
        <f t="shared" si="9"/>
        <v>X</v>
      </c>
      <c r="AN15" s="60">
        <f>IF($H15=AM15,SUM(AN12:AN14)+1,SUM(AN12:AN14))</f>
        <v>0</v>
      </c>
      <c r="AO15" s="58">
        <f>SUM(AO12:AO14)</f>
        <v>0</v>
      </c>
      <c r="AP15" s="59">
        <f>SUM(AP12:AP14)</f>
        <v>0</v>
      </c>
      <c r="AQ15" s="59" t="str">
        <f t="shared" si="10"/>
        <v>X</v>
      </c>
      <c r="AR15" s="60">
        <f>IF($H15=AQ15,SUM(AR12:AR14)+1,SUM(AR12:AR14))</f>
        <v>0</v>
      </c>
      <c r="AS15" s="58">
        <f>SUM(AS12:AS14)</f>
        <v>0</v>
      </c>
      <c r="AT15" s="59">
        <f>SUM(AT12:AT14)</f>
        <v>0</v>
      </c>
      <c r="AU15" s="59" t="str">
        <f t="shared" si="11"/>
        <v>X</v>
      </c>
      <c r="AV15" s="60">
        <f>IF($H15=AU15,SUM(AV12:AV14)+1,SUM(AV12:AV14))</f>
        <v>0</v>
      </c>
      <c r="AW15" s="58">
        <f>SUM(AW12:AW14)</f>
        <v>0</v>
      </c>
      <c r="AX15" s="59">
        <f>SUM(AX12:AX14)</f>
        <v>0</v>
      </c>
      <c r="AY15" s="59" t="str">
        <f t="shared" si="12"/>
        <v>X</v>
      </c>
      <c r="AZ15" s="60">
        <f>IF($H15=AY15,SUM(AZ12:AZ14)+1,SUM(AZ12:AZ14))</f>
        <v>0</v>
      </c>
      <c r="BA15" s="58">
        <f>SUM(BA12:BA14)</f>
        <v>0</v>
      </c>
      <c r="BB15" s="59">
        <f>SUM(BB12:BB14)</f>
        <v>0</v>
      </c>
      <c r="BC15" s="59" t="str">
        <f t="shared" si="13"/>
        <v>X</v>
      </c>
      <c r="BD15" s="60">
        <f>IF($H15=BC15,SUM(BD12:BD14)+1,SUM(BD12:BD14))</f>
        <v>0</v>
      </c>
      <c r="BE15" s="58">
        <f>SUM(BE12:BE14)</f>
        <v>0</v>
      </c>
      <c r="BF15" s="59">
        <f>SUM(BF12:BF14)</f>
        <v>0</v>
      </c>
      <c r="BG15" s="59" t="str">
        <f t="shared" si="14"/>
        <v>X</v>
      </c>
      <c r="BH15" s="60">
        <f>IF($H15=BG15,SUM(BH12:BH14)+1,SUM(BH12:BH14))</f>
        <v>0</v>
      </c>
      <c r="BI15" s="58">
        <f>SUM(BI12:BI14)</f>
        <v>0</v>
      </c>
      <c r="BJ15" s="59">
        <f>SUM(BJ12:BJ14)</f>
        <v>0</v>
      </c>
      <c r="BK15" s="59" t="str">
        <f t="shared" si="15"/>
        <v>X</v>
      </c>
      <c r="BL15" s="60">
        <f>IF($H15=BK15,SUM(BL12:BL14)+1,SUM(BL12:BL14))</f>
        <v>0</v>
      </c>
      <c r="BM15" s="58">
        <f>SUM(BM12:BM14)</f>
        <v>0</v>
      </c>
      <c r="BN15" s="59">
        <f>SUM(BN12:BN14)</f>
        <v>0</v>
      </c>
      <c r="BO15" s="59" t="str">
        <f t="shared" si="16"/>
        <v>X</v>
      </c>
      <c r="BP15" s="60">
        <f>IF($H15=BO15,SUM(BP12:BP14)+1,SUM(BP12:BP14))</f>
        <v>0</v>
      </c>
      <c r="BQ15" s="58">
        <f>SUM(BQ12:BQ14)</f>
        <v>0</v>
      </c>
      <c r="BR15" s="59">
        <f>SUM(BR12:BR14)</f>
        <v>0</v>
      </c>
      <c r="BS15" s="59" t="str">
        <f t="shared" si="17"/>
        <v>X</v>
      </c>
      <c r="BT15" s="60">
        <f>IF($H15=BS15,SUM(BT12:BT14)+1,SUM(BT12:BT14))</f>
        <v>0</v>
      </c>
      <c r="BU15" s="58">
        <f>SUM(BU12:BU14)</f>
        <v>0</v>
      </c>
      <c r="BV15" s="59">
        <f>SUM(BV12:BV14)</f>
        <v>0</v>
      </c>
      <c r="BW15" s="59" t="str">
        <f t="shared" si="18"/>
        <v>X</v>
      </c>
      <c r="BX15" s="60">
        <f>IF($H15=BW15,SUM(BX12:BX14)+1,SUM(BX12:BX14))</f>
        <v>0</v>
      </c>
      <c r="BY15" s="58">
        <f>SUM(BY12:BY14)</f>
        <v>0</v>
      </c>
      <c r="BZ15" s="59">
        <f>SUM(BZ12:BZ14)</f>
        <v>0</v>
      </c>
      <c r="CA15" s="59" t="str">
        <f t="shared" si="19"/>
        <v>X</v>
      </c>
      <c r="CB15" s="60">
        <f>IF($H15=CA15,SUM(CB12:CB14)+1,SUM(CB12:CB14))</f>
        <v>0</v>
      </c>
      <c r="CC15" s="58">
        <f>SUM(CC12:CC14)</f>
        <v>0</v>
      </c>
      <c r="CD15" s="59">
        <f>SUM(CD12:CD14)</f>
        <v>0</v>
      </c>
      <c r="CE15" s="59" t="str">
        <f t="shared" si="20"/>
        <v>X</v>
      </c>
      <c r="CF15" s="60">
        <f>IF($H15=CE15,SUM(CF12:CF14)+1,SUM(CF12:CF14))</f>
        <v>0</v>
      </c>
      <c r="CG15" s="58">
        <f>SUM(CG12:CG14)</f>
        <v>0</v>
      </c>
      <c r="CH15" s="59">
        <f>SUM(CH12:CH14)</f>
        <v>0</v>
      </c>
      <c r="CI15" s="59" t="str">
        <f t="shared" si="21"/>
        <v>X</v>
      </c>
      <c r="CJ15" s="60">
        <f>IF($H15=CI15,SUM(CJ12:CJ14)+1,SUM(CJ12:CJ14))</f>
        <v>0</v>
      </c>
      <c r="CK15" s="58">
        <f>SUM(CK12:CK14)</f>
        <v>0</v>
      </c>
      <c r="CL15" s="59">
        <f>SUM(CL12:CL14)</f>
        <v>0</v>
      </c>
      <c r="CM15" s="59" t="str">
        <f t="shared" si="22"/>
        <v>X</v>
      </c>
      <c r="CN15" s="60">
        <f>IF($H15=CM15,SUM(CN12:CN14)+1,SUM(CN12:CN14))</f>
        <v>0</v>
      </c>
      <c r="CO15" s="58">
        <f>SUM(CO12:CO14)</f>
        <v>0</v>
      </c>
      <c r="CP15" s="59">
        <f>SUM(CP12:CP14)</f>
        <v>0</v>
      </c>
      <c r="CQ15" s="59" t="str">
        <f t="shared" si="23"/>
        <v>X</v>
      </c>
      <c r="CR15" s="60">
        <f>IF($H15=CQ15,SUM(CR12:CR14)+1,SUM(CR12:CR14))</f>
        <v>0</v>
      </c>
      <c r="CS15" s="58">
        <f>SUM(CS12:CS14)</f>
        <v>0</v>
      </c>
      <c r="CT15" s="59">
        <f>SUM(CT12:CT14)</f>
        <v>0</v>
      </c>
      <c r="CU15" s="59" t="str">
        <f t="shared" si="24"/>
        <v>X</v>
      </c>
      <c r="CV15" s="60">
        <f>IF($H15=CU15,SUM(CV12:CV14)+1,SUM(CV12:CV14))</f>
        <v>0</v>
      </c>
      <c r="CW15" s="58">
        <f>SUM(CW12:CW14)</f>
        <v>0</v>
      </c>
      <c r="CX15" s="59">
        <f>SUM(CX12:CX14)</f>
        <v>0</v>
      </c>
      <c r="CY15" s="59" t="str">
        <f t="shared" si="25"/>
        <v>X</v>
      </c>
      <c r="CZ15" s="60">
        <f>IF($H15=CY15,SUM(CZ12:CZ14)+1,SUM(CZ12:CZ14))</f>
        <v>0</v>
      </c>
      <c r="DA15" s="58">
        <f>SUM(DA12:DA14)</f>
        <v>0</v>
      </c>
      <c r="DB15" s="59">
        <f>SUM(DB12:DB14)</f>
        <v>0</v>
      </c>
      <c r="DC15" s="59" t="str">
        <f t="shared" si="26"/>
        <v>X</v>
      </c>
      <c r="DD15" s="60">
        <f>IF($H15=DC15,SUM(DD12:DD14)+1,SUM(DD12:DD14))</f>
        <v>0</v>
      </c>
      <c r="DE15" s="58">
        <f>SUM(DE12:DE14)</f>
        <v>0</v>
      </c>
      <c r="DF15" s="59">
        <f>SUM(DF12:DF14)</f>
        <v>0</v>
      </c>
      <c r="DG15" s="59" t="str">
        <f t="shared" si="27"/>
        <v>X</v>
      </c>
      <c r="DH15" s="60">
        <f>IF($H15=DG15,SUM(DH12:DH14)+1,SUM(DH12:DH14))</f>
        <v>0</v>
      </c>
      <c r="DI15" s="58">
        <f>SUM(DI12:DI14)</f>
        <v>0</v>
      </c>
      <c r="DJ15" s="59">
        <f>SUM(DJ12:DJ14)</f>
        <v>0</v>
      </c>
      <c r="DK15" s="59" t="str">
        <f t="shared" si="28"/>
        <v>X</v>
      </c>
      <c r="DL15" s="60">
        <f>IF($H15=DK15,SUM(DL12:DL14)+1,SUM(DL12:DL14))</f>
        <v>0</v>
      </c>
      <c r="DM15" s="58">
        <f>SUM(DM12:DM14)</f>
        <v>0</v>
      </c>
      <c r="DN15" s="59">
        <f>SUM(DN12:DN14)</f>
        <v>0</v>
      </c>
      <c r="DO15" s="59" t="str">
        <f t="shared" si="29"/>
        <v>X</v>
      </c>
      <c r="DP15" s="60">
        <f>IF($H15=DO15,SUM(DP12:DP14)+1,SUM(DP12:DP14))</f>
        <v>0</v>
      </c>
    </row>
    <row r="16" spans="1:120" ht="13" customHeight="1" thickBot="1">
      <c r="A16" s="113">
        <f>A12</f>
        <v>43437</v>
      </c>
      <c r="B16" s="30" t="s">
        <v>140</v>
      </c>
      <c r="C16" s="31"/>
      <c r="D16" s="32" t="s">
        <v>141</v>
      </c>
      <c r="E16" s="33">
        <f t="shared" si="0"/>
        <v>0</v>
      </c>
      <c r="F16" s="34"/>
      <c r="G16" s="35"/>
      <c r="H16" s="36" t="b">
        <f t="shared" si="1"/>
        <v>0</v>
      </c>
      <c r="I16" s="37"/>
      <c r="J16" s="38"/>
      <c r="K16" s="39" t="str">
        <f t="shared" si="2"/>
        <v>X</v>
      </c>
      <c r="L16" s="40" t="b">
        <f>IF(ISNUMBER(I16), IF(K16=$H16,IF(I16=$F16,IF(J16=$G16,IF($F16-$G16&gt;=3,6,IF($G16-$F16&gt;=3,6,IF($F16+$G16&gt;=4,6,5))),3),3),0))</f>
        <v>0</v>
      </c>
      <c r="M16" s="37"/>
      <c r="N16" s="38"/>
      <c r="O16" s="39" t="str">
        <f t="shared" si="3"/>
        <v>X</v>
      </c>
      <c r="P16" s="40" t="b">
        <f>IF(ISNUMBER(M16), IF(O16=$H16,IF(M16=$F16,IF(N16=$G16,IF($F16-$G16&gt;=3,6,IF($G16-$F16&gt;=3,6,IF($F16+$G16&gt;=4,6,5))),3),3),0))</f>
        <v>0</v>
      </c>
      <c r="Q16" s="37"/>
      <c r="R16" s="38"/>
      <c r="S16" s="39" t="str">
        <f t="shared" si="4"/>
        <v>X</v>
      </c>
      <c r="T16" s="40" t="b">
        <f>IF(ISNUMBER(Q16), IF(S16=$H16,IF(Q16=$F16,IF(R16=$G16,IF($F16-$G16&gt;=3,6,IF($G16-$F16&gt;=3,6,IF($F16+$G16&gt;=4,6,5))),3),3),0))</f>
        <v>0</v>
      </c>
      <c r="U16" s="37"/>
      <c r="V16" s="38"/>
      <c r="W16" s="39" t="str">
        <f t="shared" si="5"/>
        <v>X</v>
      </c>
      <c r="X16" s="40" t="b">
        <f>IF(ISNUMBER(U16), IF(W16=$H16,IF(U16=$F16,IF(V16=$G16,IF($F16-$G16&gt;=3,6,IF($G16-$F16&gt;=3,6,IF($F16+$G16&gt;=4,6,5))),3),3),0))</f>
        <v>0</v>
      </c>
      <c r="Y16" s="37"/>
      <c r="Z16" s="38"/>
      <c r="AA16" s="39" t="str">
        <f t="shared" si="6"/>
        <v>X</v>
      </c>
      <c r="AB16" s="40" t="b">
        <f>IF(ISNUMBER(Y16), IF(AA16=$H16,IF(Y16=$F16,IF(Z16=$G16,IF($F16-$G16&gt;=3,6,IF($G16-$F16&gt;=3,6,IF($F16+$G16&gt;=4,6,5))),3),3),0))</f>
        <v>0</v>
      </c>
      <c r="AC16" s="37"/>
      <c r="AD16" s="38"/>
      <c r="AE16" s="39" t="str">
        <f t="shared" si="7"/>
        <v>X</v>
      </c>
      <c r="AF16" s="40" t="b">
        <f>IF(ISNUMBER(AC16), IF(AE16=$H16,IF(AC16=$F16,IF(AD16=$G16,IF($F16-$G16&gt;=3,6,IF($G16-$F16&gt;=3,6,IF($F16+$G16&gt;=4,6,5))),3),3),0))</f>
        <v>0</v>
      </c>
      <c r="AG16" s="37"/>
      <c r="AH16" s="38"/>
      <c r="AI16" s="39" t="str">
        <f t="shared" si="8"/>
        <v>X</v>
      </c>
      <c r="AJ16" s="40" t="b">
        <f>IF(ISNUMBER(AG16), IF(AI16=$H16,IF(AG16=$F16,IF(AH16=$G16,IF($F16-$G16&gt;=3,6,IF($G16-$F16&gt;=3,6,IF($F16+$G16&gt;=4,6,5))),3),3),0))</f>
        <v>0</v>
      </c>
      <c r="AK16" s="37"/>
      <c r="AL16" s="38"/>
      <c r="AM16" s="39" t="str">
        <f t="shared" si="9"/>
        <v>X</v>
      </c>
      <c r="AN16" s="40" t="b">
        <f>IF(ISNUMBER(AK16), IF(AM16=$H16,IF(AK16=$F16,IF(AL16=$G16,IF($F16-$G16&gt;=3,6,IF($G16-$F16&gt;=3,6,IF($F16+$G16&gt;=4,6,5))),3),3),0))</f>
        <v>0</v>
      </c>
      <c r="AO16" s="37"/>
      <c r="AP16" s="38"/>
      <c r="AQ16" s="39" t="str">
        <f t="shared" si="10"/>
        <v>X</v>
      </c>
      <c r="AR16" s="40" t="b">
        <f>IF(ISNUMBER(AO16), IF(AQ16=$H16,IF(AO16=$F16,IF(AP16=$G16,IF($F16-$G16&gt;=3,6,IF($G16-$F16&gt;=3,6,IF($F16+$G16&gt;=4,6,5))),3),3),0))</f>
        <v>0</v>
      </c>
      <c r="AS16" s="37"/>
      <c r="AT16" s="38"/>
      <c r="AU16" s="39" t="str">
        <f t="shared" si="11"/>
        <v>X</v>
      </c>
      <c r="AV16" s="40" t="b">
        <f>IF(ISNUMBER(AS16), IF(AU16=$H16,IF(AS16=$F16,IF(AT16=$G16,IF($F16-$G16&gt;=3,6,IF($G16-$F16&gt;=3,6,IF($F16+$G16&gt;=4,6,5))),3),3),0))</f>
        <v>0</v>
      </c>
      <c r="AW16" s="37"/>
      <c r="AX16" s="38"/>
      <c r="AY16" s="39" t="str">
        <f t="shared" si="12"/>
        <v>X</v>
      </c>
      <c r="AZ16" s="40" t="b">
        <f>IF(ISNUMBER(AW16), IF(AY16=$H16,IF(AW16=$F16,IF(AX16=$G16,IF($F16-$G16&gt;=3,6,IF($G16-$F16&gt;=3,6,IF($F16+$G16&gt;=4,6,5))),3),3),0))</f>
        <v>0</v>
      </c>
      <c r="BA16" s="37"/>
      <c r="BB16" s="38"/>
      <c r="BC16" s="39" t="str">
        <f t="shared" si="13"/>
        <v>X</v>
      </c>
      <c r="BD16" s="40" t="b">
        <f>IF(ISNUMBER(BA16), IF(BC16=$H16,IF(BA16=$F16,IF(BB16=$G16,IF($F16-$G16&gt;=3,6,IF($G16-$F16&gt;=3,6,IF($F16+$G16&gt;=4,6,5))),3),3),0))</f>
        <v>0</v>
      </c>
      <c r="BE16" s="37"/>
      <c r="BF16" s="38"/>
      <c r="BG16" s="39" t="str">
        <f t="shared" si="14"/>
        <v>X</v>
      </c>
      <c r="BH16" s="40" t="b">
        <f>IF(ISNUMBER(BE16), IF(BG16=$H16,IF(BE16=$F16,IF(BF16=$G16,IF($F16-$G16&gt;=3,6,IF($G16-$F16&gt;=3,6,IF($F16+$G16&gt;=4,6,5))),3),3),0))</f>
        <v>0</v>
      </c>
      <c r="BI16" s="37"/>
      <c r="BJ16" s="38"/>
      <c r="BK16" s="39" t="str">
        <f t="shared" si="15"/>
        <v>X</v>
      </c>
      <c r="BL16" s="40" t="b">
        <f>IF(ISNUMBER(BI16), IF(BK16=$H16,IF(BI16=$F16,IF(BJ16=$G16,IF($F16-$G16&gt;=3,6,IF($G16-$F16&gt;=3,6,IF($F16+$G16&gt;=4,6,5))),3),3),0))</f>
        <v>0</v>
      </c>
      <c r="BM16" s="37"/>
      <c r="BN16" s="38"/>
      <c r="BO16" s="39" t="str">
        <f t="shared" si="16"/>
        <v>X</v>
      </c>
      <c r="BP16" s="40" t="b">
        <f>IF(ISNUMBER(BM16), IF(BO16=$H16,IF(BM16=$F16,IF(BN16=$G16,IF($F16-$G16&gt;=3,6,IF($G16-$F16&gt;=3,6,IF($F16+$G16&gt;=4,6,5))),3),3),0))</f>
        <v>0</v>
      </c>
      <c r="BQ16" s="37"/>
      <c r="BR16" s="38"/>
      <c r="BS16" s="39" t="str">
        <f t="shared" si="17"/>
        <v>X</v>
      </c>
      <c r="BT16" s="40" t="b">
        <f>IF(ISNUMBER(BQ16), IF(BS16=$H16,IF(BQ16=$F16,IF(BR16=$G16,IF($F16-$G16&gt;=3,6,IF($G16-$F16&gt;=3,6,IF($F16+$G16&gt;=4,6,5))),3),3),0))</f>
        <v>0</v>
      </c>
      <c r="BU16" s="37"/>
      <c r="BV16" s="38"/>
      <c r="BW16" s="39" t="str">
        <f t="shared" si="18"/>
        <v>X</v>
      </c>
      <c r="BX16" s="40" t="b">
        <f>IF(ISNUMBER(BU16), IF(BW16=$H16,IF(BU16=$F16,IF(BV16=$G16,IF($F16-$G16&gt;=3,6,IF($G16-$F16&gt;=3,6,IF($F16+$G16&gt;=4,6,5))),3),3),0))</f>
        <v>0</v>
      </c>
      <c r="BY16" s="37"/>
      <c r="BZ16" s="38"/>
      <c r="CA16" s="39" t="str">
        <f t="shared" si="19"/>
        <v>X</v>
      </c>
      <c r="CB16" s="40" t="b">
        <f>IF(ISNUMBER(BY16), IF(CA16=$H16,IF(BY16=$F16,IF(BZ16=$G16,IF($F16-$G16&gt;=3,6,IF($G16-$F16&gt;=3,6,IF($F16+$G16&gt;=4,6,5))),3),3),0))</f>
        <v>0</v>
      </c>
      <c r="CC16" s="37"/>
      <c r="CD16" s="38"/>
      <c r="CE16" s="39" t="str">
        <f t="shared" si="20"/>
        <v>X</v>
      </c>
      <c r="CF16" s="40" t="b">
        <f>IF(ISNUMBER(CC16), IF(CE16=$H16,IF(CC16=$F16,IF(CD16=$G16,IF($F16-$G16&gt;=3,6,IF($G16-$F16&gt;=3,6,IF($F16+$G16&gt;=4,6,5))),3),3),0))</f>
        <v>0</v>
      </c>
      <c r="CG16" s="37"/>
      <c r="CH16" s="38"/>
      <c r="CI16" s="39" t="str">
        <f t="shared" si="21"/>
        <v>X</v>
      </c>
      <c r="CJ16" s="40" t="b">
        <f>IF(ISNUMBER(CG16), IF(CI16=$H16,IF(CG16=$F16,IF(CH16=$G16,IF($F16-$G16&gt;=3,6,IF($G16-$F16&gt;=3,6,IF($F16+$G16&gt;=4,6,5))),3),3),0))</f>
        <v>0</v>
      </c>
      <c r="CK16" s="37"/>
      <c r="CL16" s="38"/>
      <c r="CM16" s="39" t="str">
        <f t="shared" si="22"/>
        <v>X</v>
      </c>
      <c r="CN16" s="40" t="b">
        <f>IF(ISNUMBER(CK16), IF(CM16=$H16,IF(CK16=$F16,IF(CL16=$G16,IF($F16-$G16&gt;=3,6,IF($G16-$F16&gt;=3,6,IF($F16+$G16&gt;=4,6,5))),3),3),0))</f>
        <v>0</v>
      </c>
      <c r="CO16" s="37"/>
      <c r="CP16" s="38"/>
      <c r="CQ16" s="39" t="str">
        <f t="shared" si="23"/>
        <v>X</v>
      </c>
      <c r="CR16" s="40" t="b">
        <f>IF(ISNUMBER(CO16), IF(CQ16=$H16,IF(CO16=$F16,IF(CP16=$G16,IF($F16-$G16&gt;=3,6,IF($G16-$F16&gt;=3,6,IF($F16+$G16&gt;=4,6,5))),3),3),0))</f>
        <v>0</v>
      </c>
      <c r="CS16" s="37"/>
      <c r="CT16" s="38"/>
      <c r="CU16" s="39" t="str">
        <f t="shared" si="24"/>
        <v>X</v>
      </c>
      <c r="CV16" s="40" t="b">
        <f>IF(ISNUMBER(CS16), IF(CU16=$H16,IF(CS16=$F16,IF(CT16=$G16,IF($F16-$G16&gt;=3,6,IF($G16-$F16&gt;=3,6,IF($F16+$G16&gt;=4,6,5))),3),3),0))</f>
        <v>0</v>
      </c>
      <c r="CW16" s="37"/>
      <c r="CX16" s="38"/>
      <c r="CY16" s="39" t="str">
        <f t="shared" si="25"/>
        <v>X</v>
      </c>
      <c r="CZ16" s="40" t="b">
        <f>IF(ISNUMBER(CW16), IF(CY16=$H16,IF(CW16=$F16,IF(CX16=$G16,IF($F16-$G16&gt;=3,6,IF($G16-$F16&gt;=3,6,IF($F16+$G16&gt;=4,6,5))),3),3),0))</f>
        <v>0</v>
      </c>
      <c r="DA16" s="37"/>
      <c r="DB16" s="38"/>
      <c r="DC16" s="39" t="str">
        <f t="shared" si="26"/>
        <v>X</v>
      </c>
      <c r="DD16" s="40" t="b">
        <f>IF(ISNUMBER(DA16), IF(DC16=$H16,IF(DA16=$F16,IF(DB16=$G16,IF($F16-$G16&gt;=3,6,IF($G16-$F16&gt;=3,6,IF($F16+$G16&gt;=4,6,5))),3),3),0))</f>
        <v>0</v>
      </c>
      <c r="DE16" s="37"/>
      <c r="DF16" s="38"/>
      <c r="DG16" s="39" t="str">
        <f t="shared" si="27"/>
        <v>X</v>
      </c>
      <c r="DH16" s="40" t="b">
        <f>IF(ISNUMBER(DE16), IF(DG16=$H16,IF(DE16=$F16,IF(DF16=$G16,IF($F16-$G16&gt;=3,6,IF($G16-$F16&gt;=3,6,IF($F16+$G16&gt;=4,6,5))),3),3),0))</f>
        <v>0</v>
      </c>
      <c r="DI16" s="37"/>
      <c r="DJ16" s="38"/>
      <c r="DK16" s="39" t="str">
        <f t="shared" si="28"/>
        <v>X</v>
      </c>
      <c r="DL16" s="40" t="b">
        <f>IF(ISNUMBER(DI16), IF(DK16=$H16,IF(DI16=$F16,IF(DJ16=$G16,IF($F16-$G16&gt;=3,6,IF($G16-$F16&gt;=3,6,IF($F16+$G16&gt;=4,6,5))),3),3),0))</f>
        <v>0</v>
      </c>
      <c r="DM16" s="37"/>
      <c r="DN16" s="38"/>
      <c r="DO16" s="39" t="str">
        <f t="shared" si="29"/>
        <v>X</v>
      </c>
      <c r="DP16" s="40" t="b">
        <f>IF(ISNUMBER(DM16), IF(DO16=$H16,IF(DM16=$F16,IF(DN16=$G16,IF($F16-$G16&gt;=3,6,IF($G16-$F16&gt;=3,6,IF($F16+$G16&gt;=4,6,5))),3),3),0))</f>
        <v>0</v>
      </c>
    </row>
    <row r="17" spans="1:120" ht="13" customHeight="1" thickBot="1">
      <c r="A17" s="41"/>
      <c r="B17" s="42"/>
      <c r="C17" s="43"/>
      <c r="D17" s="44" t="s">
        <v>142</v>
      </c>
      <c r="E17" s="33">
        <f t="shared" si="0"/>
        <v>0</v>
      </c>
      <c r="F17" s="81"/>
      <c r="G17" s="82"/>
      <c r="H17" s="47" t="b">
        <f t="shared" si="1"/>
        <v>0</v>
      </c>
      <c r="I17" s="48"/>
      <c r="J17" s="49"/>
      <c r="K17" s="50" t="str">
        <f t="shared" si="2"/>
        <v>X</v>
      </c>
      <c r="L17" s="51" t="b">
        <f>IF(ISNUMBER(I17), IF(K17=$H17,IF(I17=$F17,IF(J17=$G17,2,1),1),0))</f>
        <v>0</v>
      </c>
      <c r="M17" s="48"/>
      <c r="N17" s="49"/>
      <c r="O17" s="50" t="str">
        <f t="shared" si="3"/>
        <v>X</v>
      </c>
      <c r="P17" s="51" t="b">
        <f>IF(ISNUMBER(M17), IF(O17=$H17,IF(M17=$F17,IF(N17=$G17,2,1),1),0))</f>
        <v>0</v>
      </c>
      <c r="Q17" s="48"/>
      <c r="R17" s="49"/>
      <c r="S17" s="50" t="str">
        <f t="shared" si="4"/>
        <v>X</v>
      </c>
      <c r="T17" s="51" t="b">
        <f>IF(ISNUMBER(Q17), IF(S17=$H17,IF(Q17=$F17,IF(R17=$G17,2,1),1),0))</f>
        <v>0</v>
      </c>
      <c r="U17" s="48"/>
      <c r="V17" s="49"/>
      <c r="W17" s="50" t="str">
        <f t="shared" si="5"/>
        <v>X</v>
      </c>
      <c r="X17" s="51" t="b">
        <f>IF(ISNUMBER(U17), IF(W17=$H17,IF(U17=$F17,IF(V17=$G17,2,1),1),0))</f>
        <v>0</v>
      </c>
      <c r="Y17" s="48"/>
      <c r="Z17" s="49"/>
      <c r="AA17" s="50" t="str">
        <f t="shared" si="6"/>
        <v>X</v>
      </c>
      <c r="AB17" s="51" t="b">
        <f>IF(ISNUMBER(Y17), IF(AA17=$H17,IF(Y17=$F17,IF(Z17=$G17,2,1),1),0))</f>
        <v>0</v>
      </c>
      <c r="AC17" s="48"/>
      <c r="AD17" s="49"/>
      <c r="AE17" s="50" t="str">
        <f t="shared" si="7"/>
        <v>X</v>
      </c>
      <c r="AF17" s="51" t="b">
        <f>IF(ISNUMBER(AC17), IF(AE17=$H17,IF(AC17=$F17,IF(AD17=$G17,2,1),1),0))</f>
        <v>0</v>
      </c>
      <c r="AG17" s="48"/>
      <c r="AH17" s="49"/>
      <c r="AI17" s="50" t="str">
        <f t="shared" si="8"/>
        <v>X</v>
      </c>
      <c r="AJ17" s="51" t="b">
        <f>IF(ISNUMBER(AG17), IF(AI17=$H17,IF(AG17=$F17,IF(AH17=$G17,2,1),1),0))</f>
        <v>0</v>
      </c>
      <c r="AK17" s="48"/>
      <c r="AL17" s="49"/>
      <c r="AM17" s="50" t="str">
        <f t="shared" si="9"/>
        <v>X</v>
      </c>
      <c r="AN17" s="51" t="b">
        <f>IF(ISNUMBER(AK17), IF(AM17=$H17,IF(AK17=$F17,IF(AL17=$G17,2,1),1),0))</f>
        <v>0</v>
      </c>
      <c r="AO17" s="48"/>
      <c r="AP17" s="49"/>
      <c r="AQ17" s="50" t="str">
        <f t="shared" si="10"/>
        <v>X</v>
      </c>
      <c r="AR17" s="51" t="b">
        <f>IF(ISNUMBER(AO17), IF(AQ17=$H17,IF(AO17=$F17,IF(AP17=$G17,2,1),1),0))</f>
        <v>0</v>
      </c>
      <c r="AS17" s="48"/>
      <c r="AT17" s="49"/>
      <c r="AU17" s="50" t="str">
        <f t="shared" si="11"/>
        <v>X</v>
      </c>
      <c r="AV17" s="51" t="b">
        <f>IF(ISNUMBER(AS17), IF(AU17=$H17,IF(AS17=$F17,IF(AT17=$G17,2,1),1),0))</f>
        <v>0</v>
      </c>
      <c r="AW17" s="48"/>
      <c r="AX17" s="49"/>
      <c r="AY17" s="50" t="str">
        <f t="shared" si="12"/>
        <v>X</v>
      </c>
      <c r="AZ17" s="51" t="b">
        <f>IF(ISNUMBER(AW17), IF(AY17=$H17,IF(AW17=$F17,IF(AX17=$G17,2,1),1),0))</f>
        <v>0</v>
      </c>
      <c r="BA17" s="48"/>
      <c r="BB17" s="49"/>
      <c r="BC17" s="50" t="str">
        <f t="shared" si="13"/>
        <v>X</v>
      </c>
      <c r="BD17" s="51" t="b">
        <f>IF(ISNUMBER(BA17), IF(BC17=$H17,IF(BA17=$F17,IF(BB17=$G17,2,1),1),0))</f>
        <v>0</v>
      </c>
      <c r="BE17" s="48"/>
      <c r="BF17" s="49"/>
      <c r="BG17" s="50" t="str">
        <f t="shared" si="14"/>
        <v>X</v>
      </c>
      <c r="BH17" s="51" t="b">
        <f>IF(ISNUMBER(BE17), IF(BG17=$H17,IF(BE17=$F17,IF(BF17=$G17,2,1),1),0))</f>
        <v>0</v>
      </c>
      <c r="BI17" s="48"/>
      <c r="BJ17" s="49"/>
      <c r="BK17" s="50" t="str">
        <f t="shared" si="15"/>
        <v>X</v>
      </c>
      <c r="BL17" s="51" t="b">
        <f>IF(ISNUMBER(BI17), IF(BK17=$H17,IF(BI17=$F17,IF(BJ17=$G17,2,1),1),0))</f>
        <v>0</v>
      </c>
      <c r="BM17" s="48"/>
      <c r="BN17" s="49"/>
      <c r="BO17" s="50" t="str">
        <f t="shared" si="16"/>
        <v>X</v>
      </c>
      <c r="BP17" s="51" t="b">
        <f>IF(ISNUMBER(BM17), IF(BO17=$H17,IF(BM17=$F17,IF(BN17=$G17,2,1),1),0))</f>
        <v>0</v>
      </c>
      <c r="BQ17" s="48"/>
      <c r="BR17" s="49"/>
      <c r="BS17" s="50" t="str">
        <f t="shared" si="17"/>
        <v>X</v>
      </c>
      <c r="BT17" s="51" t="b">
        <f>IF(ISNUMBER(BQ17), IF(BS17=$H17,IF(BQ17=$F17,IF(BR17=$G17,2,1),1),0))</f>
        <v>0</v>
      </c>
      <c r="BU17" s="48"/>
      <c r="BV17" s="49"/>
      <c r="BW17" s="50" t="str">
        <f t="shared" si="18"/>
        <v>X</v>
      </c>
      <c r="BX17" s="51" t="b">
        <f>IF(ISNUMBER(BU17), IF(BW17=$H17,IF(BU17=$F17,IF(BV17=$G17,2,1),1),0))</f>
        <v>0</v>
      </c>
      <c r="BY17" s="48"/>
      <c r="BZ17" s="49"/>
      <c r="CA17" s="50" t="str">
        <f t="shared" si="19"/>
        <v>X</v>
      </c>
      <c r="CB17" s="51" t="b">
        <f>IF(ISNUMBER(BY17), IF(CA17=$H17,IF(BY17=$F17,IF(BZ17=$G17,2,1),1),0))</f>
        <v>0</v>
      </c>
      <c r="CC17" s="48"/>
      <c r="CD17" s="49"/>
      <c r="CE17" s="50" t="str">
        <f t="shared" si="20"/>
        <v>X</v>
      </c>
      <c r="CF17" s="51" t="b">
        <f>IF(ISNUMBER(CC17), IF(CE17=$H17,IF(CC17=$F17,IF(CD17=$G17,2,1),1),0))</f>
        <v>0</v>
      </c>
      <c r="CG17" s="48"/>
      <c r="CH17" s="49"/>
      <c r="CI17" s="50" t="str">
        <f t="shared" si="21"/>
        <v>X</v>
      </c>
      <c r="CJ17" s="51" t="b">
        <f>IF(ISNUMBER(CG17), IF(CI17=$H17,IF(CG17=$F17,IF(CH17=$G17,2,1),1),0))</f>
        <v>0</v>
      </c>
      <c r="CK17" s="48"/>
      <c r="CL17" s="49"/>
      <c r="CM17" s="50" t="str">
        <f t="shared" si="22"/>
        <v>X</v>
      </c>
      <c r="CN17" s="51" t="b">
        <f>IF(ISNUMBER(CK17), IF(CM17=$H17,IF(CK17=$F17,IF(CL17=$G17,2,1),1),0))</f>
        <v>0</v>
      </c>
      <c r="CO17" s="48"/>
      <c r="CP17" s="49"/>
      <c r="CQ17" s="50" t="str">
        <f t="shared" si="23"/>
        <v>X</v>
      </c>
      <c r="CR17" s="51" t="b">
        <f>IF(ISNUMBER(CO17), IF(CQ17=$H17,IF(CO17=$F17,IF(CP17=$G17,2,1),1),0))</f>
        <v>0</v>
      </c>
      <c r="CS17" s="48"/>
      <c r="CT17" s="49"/>
      <c r="CU17" s="50" t="str">
        <f t="shared" si="24"/>
        <v>X</v>
      </c>
      <c r="CV17" s="51" t="b">
        <f>IF(ISNUMBER(CS17), IF(CU17=$H17,IF(CS17=$F17,IF(CT17=$G17,2,1),1),0))</f>
        <v>0</v>
      </c>
      <c r="CW17" s="48"/>
      <c r="CX17" s="49"/>
      <c r="CY17" s="50" t="str">
        <f t="shared" si="25"/>
        <v>X</v>
      </c>
      <c r="CZ17" s="51" t="b">
        <f>IF(ISNUMBER(CW17), IF(CY17=$H17,IF(CW17=$F17,IF(CX17=$G17,2,1),1),0))</f>
        <v>0</v>
      </c>
      <c r="DA17" s="48"/>
      <c r="DB17" s="49"/>
      <c r="DC17" s="50" t="str">
        <f t="shared" si="26"/>
        <v>X</v>
      </c>
      <c r="DD17" s="51" t="b">
        <f>IF(ISNUMBER(DA17), IF(DC17=$H17,IF(DA17=$F17,IF(DB17=$G17,2,1),1),0))</f>
        <v>0</v>
      </c>
      <c r="DE17" s="48"/>
      <c r="DF17" s="49"/>
      <c r="DG17" s="50" t="str">
        <f t="shared" si="27"/>
        <v>X</v>
      </c>
      <c r="DH17" s="51" t="b">
        <f>IF(ISNUMBER(DE17), IF(DG17=$H17,IF(DE17=$F17,IF(DF17=$G17,2,1),1),0))</f>
        <v>0</v>
      </c>
      <c r="DI17" s="48"/>
      <c r="DJ17" s="49"/>
      <c r="DK17" s="50" t="str">
        <f t="shared" si="28"/>
        <v>X</v>
      </c>
      <c r="DL17" s="51" t="b">
        <f>IF(ISNUMBER(DI17), IF(DK17=$H17,IF(DI17=$F17,IF(DJ17=$G17,2,1),1),0))</f>
        <v>0</v>
      </c>
      <c r="DM17" s="48"/>
      <c r="DN17" s="49"/>
      <c r="DO17" s="50" t="str">
        <f t="shared" si="29"/>
        <v>X</v>
      </c>
      <c r="DP17" s="51" t="b">
        <f>IF(ISNUMBER(DM17), IF(DO17=$H17,IF(DM17=$F17,IF(DN17=$G17,2,1),1),0))</f>
        <v>0</v>
      </c>
    </row>
    <row r="18" spans="1:120" ht="13" customHeight="1" thickBot="1">
      <c r="A18" s="41"/>
      <c r="B18" s="42"/>
      <c r="C18" s="43"/>
      <c r="D18" s="44" t="s">
        <v>143</v>
      </c>
      <c r="E18" s="33">
        <f t="shared" si="0"/>
        <v>0</v>
      </c>
      <c r="F18" s="45"/>
      <c r="G18" s="46"/>
      <c r="H18" s="47" t="b">
        <f t="shared" si="1"/>
        <v>0</v>
      </c>
      <c r="I18" s="48"/>
      <c r="J18" s="49"/>
      <c r="K18" s="50" t="str">
        <f t="shared" si="2"/>
        <v>X</v>
      </c>
      <c r="L18" s="51" t="b">
        <f>IF(ISNUMBER(I18), IF(K18=$H18,IF(I18=$F18,IF(J18=$G18,2,1),1),0))</f>
        <v>0</v>
      </c>
      <c r="M18" s="48"/>
      <c r="N18" s="49"/>
      <c r="O18" s="50" t="str">
        <f t="shared" si="3"/>
        <v>X</v>
      </c>
      <c r="P18" s="51" t="b">
        <f>IF(ISNUMBER(M18), IF(O18=$H18,IF(M18=$F18,IF(N18=$G18,2,1),1),0))</f>
        <v>0</v>
      </c>
      <c r="Q18" s="48"/>
      <c r="R18" s="49"/>
      <c r="S18" s="50" t="str">
        <f t="shared" si="4"/>
        <v>X</v>
      </c>
      <c r="T18" s="51" t="b">
        <f>IF(ISNUMBER(Q18), IF(S18=$H18,IF(Q18=$F18,IF(R18=$G18,2,1),1),0))</f>
        <v>0</v>
      </c>
      <c r="U18" s="48"/>
      <c r="V18" s="49"/>
      <c r="W18" s="50" t="str">
        <f t="shared" si="5"/>
        <v>X</v>
      </c>
      <c r="X18" s="51" t="b">
        <f>IF(ISNUMBER(U18), IF(W18=$H18,IF(U18=$F18,IF(V18=$G18,2,1),1),0))</f>
        <v>0</v>
      </c>
      <c r="Y18" s="48"/>
      <c r="Z18" s="49"/>
      <c r="AA18" s="50" t="str">
        <f t="shared" si="6"/>
        <v>X</v>
      </c>
      <c r="AB18" s="51" t="b">
        <f>IF(ISNUMBER(Y18), IF(AA18=$H18,IF(Y18=$F18,IF(Z18=$G18,2,1),1),0))</f>
        <v>0</v>
      </c>
      <c r="AC18" s="48"/>
      <c r="AD18" s="49"/>
      <c r="AE18" s="50" t="str">
        <f t="shared" si="7"/>
        <v>X</v>
      </c>
      <c r="AF18" s="51" t="b">
        <f>IF(ISNUMBER(AC18), IF(AE18=$H18,IF(AC18=$F18,IF(AD18=$G18,2,1),1),0))</f>
        <v>0</v>
      </c>
      <c r="AG18" s="48"/>
      <c r="AH18" s="49"/>
      <c r="AI18" s="50" t="str">
        <f t="shared" si="8"/>
        <v>X</v>
      </c>
      <c r="AJ18" s="51" t="b">
        <f>IF(ISNUMBER(AG18), IF(AI18=$H18,IF(AG18=$F18,IF(AH18=$G18,2,1),1),0))</f>
        <v>0</v>
      </c>
      <c r="AK18" s="48"/>
      <c r="AL18" s="49"/>
      <c r="AM18" s="50" t="str">
        <f t="shared" si="9"/>
        <v>X</v>
      </c>
      <c r="AN18" s="51" t="b">
        <f>IF(ISNUMBER(AK18), IF(AM18=$H18,IF(AK18=$F18,IF(AL18=$G18,2,1),1),0))</f>
        <v>0</v>
      </c>
      <c r="AO18" s="48"/>
      <c r="AP18" s="49"/>
      <c r="AQ18" s="50" t="str">
        <f t="shared" si="10"/>
        <v>X</v>
      </c>
      <c r="AR18" s="51" t="b">
        <f>IF(ISNUMBER(AO18), IF(AQ18=$H18,IF(AO18=$F18,IF(AP18=$G18,2,1),1),0))</f>
        <v>0</v>
      </c>
      <c r="AS18" s="48"/>
      <c r="AT18" s="49"/>
      <c r="AU18" s="50" t="str">
        <f t="shared" si="11"/>
        <v>X</v>
      </c>
      <c r="AV18" s="51" t="b">
        <f>IF(ISNUMBER(AS18), IF(AU18=$H18,IF(AS18=$F18,IF(AT18=$G18,2,1),1),0))</f>
        <v>0</v>
      </c>
      <c r="AW18" s="48"/>
      <c r="AX18" s="49"/>
      <c r="AY18" s="50" t="str">
        <f t="shared" si="12"/>
        <v>X</v>
      </c>
      <c r="AZ18" s="51" t="b">
        <f>IF(ISNUMBER(AW18), IF(AY18=$H18,IF(AW18=$F18,IF(AX18=$G18,2,1),1),0))</f>
        <v>0</v>
      </c>
      <c r="BA18" s="48"/>
      <c r="BB18" s="49"/>
      <c r="BC18" s="50" t="str">
        <f t="shared" si="13"/>
        <v>X</v>
      </c>
      <c r="BD18" s="51" t="b">
        <f>IF(ISNUMBER(BA18), IF(BC18=$H18,IF(BA18=$F18,IF(BB18=$G18,2,1),1),0))</f>
        <v>0</v>
      </c>
      <c r="BE18" s="48"/>
      <c r="BF18" s="49"/>
      <c r="BG18" s="50" t="str">
        <f t="shared" si="14"/>
        <v>X</v>
      </c>
      <c r="BH18" s="51" t="b">
        <f>IF(ISNUMBER(BE18), IF(BG18=$H18,IF(BE18=$F18,IF(BF18=$G18,2,1),1),0))</f>
        <v>0</v>
      </c>
      <c r="BI18" s="48"/>
      <c r="BJ18" s="49"/>
      <c r="BK18" s="50" t="str">
        <f t="shared" si="15"/>
        <v>X</v>
      </c>
      <c r="BL18" s="51" t="b">
        <f>IF(ISNUMBER(BI18), IF(BK18=$H18,IF(BI18=$F18,IF(BJ18=$G18,2,1),1),0))</f>
        <v>0</v>
      </c>
      <c r="BM18" s="48"/>
      <c r="BN18" s="49"/>
      <c r="BO18" s="50" t="str">
        <f t="shared" si="16"/>
        <v>X</v>
      </c>
      <c r="BP18" s="51" t="b">
        <f>IF(ISNUMBER(BM18), IF(BO18=$H18,IF(BM18=$F18,IF(BN18=$G18,2,1),1),0))</f>
        <v>0</v>
      </c>
      <c r="BQ18" s="48"/>
      <c r="BR18" s="49"/>
      <c r="BS18" s="50" t="str">
        <f t="shared" si="17"/>
        <v>X</v>
      </c>
      <c r="BT18" s="51" t="b">
        <f>IF(ISNUMBER(BQ18), IF(BS18=$H18,IF(BQ18=$F18,IF(BR18=$G18,2,1),1),0))</f>
        <v>0</v>
      </c>
      <c r="BU18" s="48"/>
      <c r="BV18" s="49"/>
      <c r="BW18" s="50" t="str">
        <f t="shared" si="18"/>
        <v>X</v>
      </c>
      <c r="BX18" s="51" t="b">
        <f>IF(ISNUMBER(BU18), IF(BW18=$H18,IF(BU18=$F18,IF(BV18=$G18,2,1),1),0))</f>
        <v>0</v>
      </c>
      <c r="BY18" s="48"/>
      <c r="BZ18" s="49"/>
      <c r="CA18" s="50" t="str">
        <f t="shared" si="19"/>
        <v>X</v>
      </c>
      <c r="CB18" s="51" t="b">
        <f>IF(ISNUMBER(BY18), IF(CA18=$H18,IF(BY18=$F18,IF(BZ18=$G18,2,1),1),0))</f>
        <v>0</v>
      </c>
      <c r="CC18" s="48"/>
      <c r="CD18" s="49"/>
      <c r="CE18" s="50" t="str">
        <f t="shared" si="20"/>
        <v>X</v>
      </c>
      <c r="CF18" s="51" t="b">
        <f>IF(ISNUMBER(CC18), IF(CE18=$H18,IF(CC18=$F18,IF(CD18=$G18,2,1),1),0))</f>
        <v>0</v>
      </c>
      <c r="CG18" s="48"/>
      <c r="CH18" s="49"/>
      <c r="CI18" s="50" t="str">
        <f t="shared" si="21"/>
        <v>X</v>
      </c>
      <c r="CJ18" s="51" t="b">
        <f>IF(ISNUMBER(CG18), IF(CI18=$H18,IF(CG18=$F18,IF(CH18=$G18,2,1),1),0))</f>
        <v>0</v>
      </c>
      <c r="CK18" s="48"/>
      <c r="CL18" s="49"/>
      <c r="CM18" s="50" t="str">
        <f t="shared" si="22"/>
        <v>X</v>
      </c>
      <c r="CN18" s="51" t="b">
        <f>IF(ISNUMBER(CK18), IF(CM18=$H18,IF(CK18=$F18,IF(CL18=$G18,2,1),1),0))</f>
        <v>0</v>
      </c>
      <c r="CO18" s="48"/>
      <c r="CP18" s="49"/>
      <c r="CQ18" s="50" t="str">
        <f t="shared" si="23"/>
        <v>X</v>
      </c>
      <c r="CR18" s="51" t="b">
        <f>IF(ISNUMBER(CO18), IF(CQ18=$H18,IF(CO18=$F18,IF(CP18=$G18,2,1),1),0))</f>
        <v>0</v>
      </c>
      <c r="CS18" s="48"/>
      <c r="CT18" s="49"/>
      <c r="CU18" s="50" t="str">
        <f t="shared" si="24"/>
        <v>X</v>
      </c>
      <c r="CV18" s="51" t="b">
        <f>IF(ISNUMBER(CS18), IF(CU18=$H18,IF(CS18=$F18,IF(CT18=$G18,2,1),1),0))</f>
        <v>0</v>
      </c>
      <c r="CW18" s="48"/>
      <c r="CX18" s="49"/>
      <c r="CY18" s="50" t="str">
        <f t="shared" si="25"/>
        <v>X</v>
      </c>
      <c r="CZ18" s="51" t="b">
        <f>IF(ISNUMBER(CW18), IF(CY18=$H18,IF(CW18=$F18,IF(CX18=$G18,2,1),1),0))</f>
        <v>0</v>
      </c>
      <c r="DA18" s="48"/>
      <c r="DB18" s="49"/>
      <c r="DC18" s="50" t="str">
        <f t="shared" si="26"/>
        <v>X</v>
      </c>
      <c r="DD18" s="51" t="b">
        <f>IF(ISNUMBER(DA18), IF(DC18=$H18,IF(DA18=$F18,IF(DB18=$G18,2,1),1),0))</f>
        <v>0</v>
      </c>
      <c r="DE18" s="48"/>
      <c r="DF18" s="49"/>
      <c r="DG18" s="50" t="str">
        <f t="shared" si="27"/>
        <v>X</v>
      </c>
      <c r="DH18" s="51" t="b">
        <f>IF(ISNUMBER(DE18), IF(DG18=$H18,IF(DE18=$F18,IF(DF18=$G18,2,1),1),0))</f>
        <v>0</v>
      </c>
      <c r="DI18" s="48"/>
      <c r="DJ18" s="49"/>
      <c r="DK18" s="50" t="str">
        <f t="shared" si="28"/>
        <v>X</v>
      </c>
      <c r="DL18" s="51" t="b">
        <f>IF(ISNUMBER(DI18), IF(DK18=$H18,IF(DI18=$F18,IF(DJ18=$G18,2,1),1),0))</f>
        <v>0</v>
      </c>
      <c r="DM18" s="48"/>
      <c r="DN18" s="49"/>
      <c r="DO18" s="50" t="str">
        <f t="shared" si="29"/>
        <v>X</v>
      </c>
      <c r="DP18" s="51" t="b">
        <f>IF(ISNUMBER(DM18), IF(DO18=$H18,IF(DM18=$F18,IF(DN18=$G18,2,1),1),0))</f>
        <v>0</v>
      </c>
    </row>
    <row r="19" spans="1:120" s="25" customFormat="1" ht="13" customHeight="1" thickBot="1">
      <c r="A19" s="52"/>
      <c r="B19" s="53"/>
      <c r="C19" s="54"/>
      <c r="D19" s="55" t="s">
        <v>144</v>
      </c>
      <c r="E19" s="33">
        <f t="shared" si="0"/>
        <v>0</v>
      </c>
      <c r="F19" s="56"/>
      <c r="G19" s="56"/>
      <c r="H19" s="57" t="b">
        <f t="shared" si="1"/>
        <v>0</v>
      </c>
      <c r="I19" s="58">
        <f>SUM(I16:I18)</f>
        <v>0</v>
      </c>
      <c r="J19" s="59">
        <f>SUM(J16:J18)</f>
        <v>0</v>
      </c>
      <c r="K19" s="59" t="str">
        <f t="shared" si="2"/>
        <v>X</v>
      </c>
      <c r="L19" s="60">
        <f>IF($H19=K19,SUM(L16:L18)+1,SUM(L16:L18))</f>
        <v>0</v>
      </c>
      <c r="M19" s="58">
        <f>SUM(M16:M18)</f>
        <v>0</v>
      </c>
      <c r="N19" s="59">
        <f>SUM(N16:N18)</f>
        <v>0</v>
      </c>
      <c r="O19" s="59" t="str">
        <f t="shared" si="3"/>
        <v>X</v>
      </c>
      <c r="P19" s="60">
        <f>IF($H19=O19,SUM(P16:P18)+1,SUM(P16:P18))</f>
        <v>0</v>
      </c>
      <c r="Q19" s="58">
        <f>SUM(Q16:Q18)</f>
        <v>0</v>
      </c>
      <c r="R19" s="59">
        <f>SUM(R16:R18)</f>
        <v>0</v>
      </c>
      <c r="S19" s="59" t="str">
        <f t="shared" si="4"/>
        <v>X</v>
      </c>
      <c r="T19" s="60">
        <f>IF($H19=S19,SUM(T16:T18)+1,SUM(T16:T18))</f>
        <v>0</v>
      </c>
      <c r="U19" s="58">
        <f>SUM(U16:U18)</f>
        <v>0</v>
      </c>
      <c r="V19" s="59">
        <f>SUM(V16:V18)</f>
        <v>0</v>
      </c>
      <c r="W19" s="59" t="str">
        <f t="shared" si="5"/>
        <v>X</v>
      </c>
      <c r="X19" s="60">
        <f>IF($H19=W19,SUM(X16:X18)+1,SUM(X16:X18))</f>
        <v>0</v>
      </c>
      <c r="Y19" s="58">
        <f>SUM(Y16:Y18)</f>
        <v>0</v>
      </c>
      <c r="Z19" s="59">
        <f>SUM(Z16:Z18)</f>
        <v>0</v>
      </c>
      <c r="AA19" s="59" t="str">
        <f t="shared" si="6"/>
        <v>X</v>
      </c>
      <c r="AB19" s="60">
        <f>IF($H19=AA19,SUM(AB16:AB18)+1,SUM(AB16:AB18))</f>
        <v>0</v>
      </c>
      <c r="AC19" s="58">
        <f>SUM(AC16:AC18)</f>
        <v>0</v>
      </c>
      <c r="AD19" s="59">
        <f>SUM(AD16:AD18)</f>
        <v>0</v>
      </c>
      <c r="AE19" s="59" t="str">
        <f t="shared" si="7"/>
        <v>X</v>
      </c>
      <c r="AF19" s="60">
        <f>IF($H19=AE19,SUM(AF16:AF18)+1,SUM(AF16:AF18))</f>
        <v>0</v>
      </c>
      <c r="AG19" s="58">
        <f>SUM(AG16:AG18)</f>
        <v>0</v>
      </c>
      <c r="AH19" s="59">
        <f>SUM(AH16:AH18)</f>
        <v>0</v>
      </c>
      <c r="AI19" s="59" t="str">
        <f t="shared" si="8"/>
        <v>X</v>
      </c>
      <c r="AJ19" s="60">
        <f>IF($H19=AI19,SUM(AJ16:AJ18)+1,SUM(AJ16:AJ18))</f>
        <v>0</v>
      </c>
      <c r="AK19" s="58">
        <f>SUM(AK16:AK18)</f>
        <v>0</v>
      </c>
      <c r="AL19" s="59">
        <f>SUM(AL16:AL18)</f>
        <v>0</v>
      </c>
      <c r="AM19" s="59" t="str">
        <f t="shared" si="9"/>
        <v>X</v>
      </c>
      <c r="AN19" s="60">
        <f>IF($H19=AM19,SUM(AN16:AN18)+1,SUM(AN16:AN18))</f>
        <v>0</v>
      </c>
      <c r="AO19" s="58">
        <f>SUM(AO16:AO18)</f>
        <v>0</v>
      </c>
      <c r="AP19" s="59">
        <f>SUM(AP16:AP18)</f>
        <v>0</v>
      </c>
      <c r="AQ19" s="59" t="str">
        <f t="shared" si="10"/>
        <v>X</v>
      </c>
      <c r="AR19" s="60">
        <f>IF($H19=AQ19,SUM(AR16:AR18)+1,SUM(AR16:AR18))</f>
        <v>0</v>
      </c>
      <c r="AS19" s="58">
        <f>SUM(AS16:AS18)</f>
        <v>0</v>
      </c>
      <c r="AT19" s="59">
        <f>SUM(AT16:AT18)</f>
        <v>0</v>
      </c>
      <c r="AU19" s="59" t="str">
        <f t="shared" si="11"/>
        <v>X</v>
      </c>
      <c r="AV19" s="60">
        <f>IF($H19=AU19,SUM(AV16:AV18)+1,SUM(AV16:AV18))</f>
        <v>0</v>
      </c>
      <c r="AW19" s="58">
        <f>SUM(AW16:AW18)</f>
        <v>0</v>
      </c>
      <c r="AX19" s="59">
        <f>SUM(AX16:AX18)</f>
        <v>0</v>
      </c>
      <c r="AY19" s="59" t="str">
        <f t="shared" si="12"/>
        <v>X</v>
      </c>
      <c r="AZ19" s="60">
        <f>IF($H19=AY19,SUM(AZ16:AZ18)+1,SUM(AZ16:AZ18))</f>
        <v>0</v>
      </c>
      <c r="BA19" s="58">
        <f>SUM(BA16:BA18)</f>
        <v>0</v>
      </c>
      <c r="BB19" s="59">
        <f>SUM(BB16:BB18)</f>
        <v>0</v>
      </c>
      <c r="BC19" s="59" t="str">
        <f t="shared" si="13"/>
        <v>X</v>
      </c>
      <c r="BD19" s="60">
        <f>IF($H19=BC19,SUM(BD16:BD18)+1,SUM(BD16:BD18))</f>
        <v>0</v>
      </c>
      <c r="BE19" s="58">
        <f>SUM(BE16:BE18)</f>
        <v>0</v>
      </c>
      <c r="BF19" s="59">
        <f>SUM(BF16:BF18)</f>
        <v>0</v>
      </c>
      <c r="BG19" s="59" t="str">
        <f t="shared" si="14"/>
        <v>X</v>
      </c>
      <c r="BH19" s="60">
        <f>IF($H19=BG19,SUM(BH16:BH18)+1,SUM(BH16:BH18))</f>
        <v>0</v>
      </c>
      <c r="BI19" s="58">
        <f>SUM(BI16:BI18)</f>
        <v>0</v>
      </c>
      <c r="BJ19" s="59">
        <f>SUM(BJ16:BJ18)</f>
        <v>0</v>
      </c>
      <c r="BK19" s="59" t="str">
        <f t="shared" si="15"/>
        <v>X</v>
      </c>
      <c r="BL19" s="60">
        <f>IF($H19=BK19,SUM(BL16:BL18)+1,SUM(BL16:BL18))</f>
        <v>0</v>
      </c>
      <c r="BM19" s="58">
        <f>SUM(BM16:BM18)</f>
        <v>0</v>
      </c>
      <c r="BN19" s="59">
        <f>SUM(BN16:BN18)</f>
        <v>0</v>
      </c>
      <c r="BO19" s="59" t="str">
        <f t="shared" si="16"/>
        <v>X</v>
      </c>
      <c r="BP19" s="60">
        <f>IF($H19=BO19,SUM(BP16:BP18)+1,SUM(BP16:BP18))</f>
        <v>0</v>
      </c>
      <c r="BQ19" s="58">
        <f>SUM(BQ16:BQ18)</f>
        <v>0</v>
      </c>
      <c r="BR19" s="59">
        <f>SUM(BR16:BR18)</f>
        <v>0</v>
      </c>
      <c r="BS19" s="59" t="str">
        <f t="shared" si="17"/>
        <v>X</v>
      </c>
      <c r="BT19" s="60">
        <f>IF($H19=BS19,SUM(BT16:BT18)+1,SUM(BT16:BT18))</f>
        <v>0</v>
      </c>
      <c r="BU19" s="58">
        <f>SUM(BU16:BU18)</f>
        <v>0</v>
      </c>
      <c r="BV19" s="59">
        <f>SUM(BV16:BV18)</f>
        <v>0</v>
      </c>
      <c r="BW19" s="59" t="str">
        <f t="shared" si="18"/>
        <v>X</v>
      </c>
      <c r="BX19" s="60">
        <f>IF($H19=BW19,SUM(BX16:BX18)+1,SUM(BX16:BX18))</f>
        <v>0</v>
      </c>
      <c r="BY19" s="58">
        <f>SUM(BY16:BY18)</f>
        <v>0</v>
      </c>
      <c r="BZ19" s="59">
        <f>SUM(BZ16:BZ18)</f>
        <v>0</v>
      </c>
      <c r="CA19" s="59" t="str">
        <f t="shared" si="19"/>
        <v>X</v>
      </c>
      <c r="CB19" s="60">
        <f>IF($H19=CA19,SUM(CB16:CB18)+1,SUM(CB16:CB18))</f>
        <v>0</v>
      </c>
      <c r="CC19" s="58">
        <f>SUM(CC16:CC18)</f>
        <v>0</v>
      </c>
      <c r="CD19" s="59">
        <f>SUM(CD16:CD18)</f>
        <v>0</v>
      </c>
      <c r="CE19" s="59" t="str">
        <f t="shared" si="20"/>
        <v>X</v>
      </c>
      <c r="CF19" s="60">
        <f>IF($H19=CE19,SUM(CF16:CF18)+1,SUM(CF16:CF18))</f>
        <v>0</v>
      </c>
      <c r="CG19" s="58">
        <f>SUM(CG16:CG18)</f>
        <v>0</v>
      </c>
      <c r="CH19" s="59">
        <f>SUM(CH16:CH18)</f>
        <v>0</v>
      </c>
      <c r="CI19" s="59" t="str">
        <f t="shared" si="21"/>
        <v>X</v>
      </c>
      <c r="CJ19" s="60">
        <f>IF($H19=CI19,SUM(CJ16:CJ18)+1,SUM(CJ16:CJ18))</f>
        <v>0</v>
      </c>
      <c r="CK19" s="58">
        <f>SUM(CK16:CK18)</f>
        <v>0</v>
      </c>
      <c r="CL19" s="59">
        <f>SUM(CL16:CL18)</f>
        <v>0</v>
      </c>
      <c r="CM19" s="59" t="str">
        <f t="shared" si="22"/>
        <v>X</v>
      </c>
      <c r="CN19" s="60">
        <f>IF($H19=CM19,SUM(CN16:CN18)+1,SUM(CN16:CN18))</f>
        <v>0</v>
      </c>
      <c r="CO19" s="58">
        <f>SUM(CO16:CO18)</f>
        <v>0</v>
      </c>
      <c r="CP19" s="59">
        <f>SUM(CP16:CP18)</f>
        <v>0</v>
      </c>
      <c r="CQ19" s="59" t="str">
        <f t="shared" si="23"/>
        <v>X</v>
      </c>
      <c r="CR19" s="60">
        <f>IF($H19=CQ19,SUM(CR16:CR18)+1,SUM(CR16:CR18))</f>
        <v>0</v>
      </c>
      <c r="CS19" s="58">
        <f>SUM(CS16:CS18)</f>
        <v>0</v>
      </c>
      <c r="CT19" s="59">
        <f>SUM(CT16:CT18)</f>
        <v>0</v>
      </c>
      <c r="CU19" s="59" t="str">
        <f t="shared" si="24"/>
        <v>X</v>
      </c>
      <c r="CV19" s="60">
        <f>IF($H19=CU19,SUM(CV16:CV18)+1,SUM(CV16:CV18))</f>
        <v>0</v>
      </c>
      <c r="CW19" s="58">
        <f>SUM(CW16:CW18)</f>
        <v>0</v>
      </c>
      <c r="CX19" s="59">
        <f>SUM(CX16:CX18)</f>
        <v>0</v>
      </c>
      <c r="CY19" s="59" t="str">
        <f t="shared" si="25"/>
        <v>X</v>
      </c>
      <c r="CZ19" s="60">
        <f>IF($H19=CY19,SUM(CZ16:CZ18)+1,SUM(CZ16:CZ18))</f>
        <v>0</v>
      </c>
      <c r="DA19" s="58">
        <f>SUM(DA16:DA18)</f>
        <v>0</v>
      </c>
      <c r="DB19" s="59">
        <f>SUM(DB16:DB18)</f>
        <v>0</v>
      </c>
      <c r="DC19" s="59" t="str">
        <f t="shared" si="26"/>
        <v>X</v>
      </c>
      <c r="DD19" s="60">
        <f>IF($H19=DC19,SUM(DD16:DD18)+1,SUM(DD16:DD18))</f>
        <v>0</v>
      </c>
      <c r="DE19" s="58">
        <f>SUM(DE16:DE18)</f>
        <v>0</v>
      </c>
      <c r="DF19" s="59">
        <f>SUM(DF16:DF18)</f>
        <v>0</v>
      </c>
      <c r="DG19" s="59" t="str">
        <f t="shared" si="27"/>
        <v>X</v>
      </c>
      <c r="DH19" s="60">
        <f>IF($H19=DG19,SUM(DH16:DH18)+1,SUM(DH16:DH18))</f>
        <v>0</v>
      </c>
      <c r="DI19" s="58">
        <f>SUM(DI16:DI18)</f>
        <v>0</v>
      </c>
      <c r="DJ19" s="59">
        <f>SUM(DJ16:DJ18)</f>
        <v>0</v>
      </c>
      <c r="DK19" s="59" t="str">
        <f t="shared" si="28"/>
        <v>X</v>
      </c>
      <c r="DL19" s="60">
        <f>IF($H19=DK19,SUM(DL16:DL18)+1,SUM(DL16:DL18))</f>
        <v>0</v>
      </c>
      <c r="DM19" s="58">
        <f>SUM(DM16:DM18)</f>
        <v>0</v>
      </c>
      <c r="DN19" s="59">
        <f>SUM(DN16:DN18)</f>
        <v>0</v>
      </c>
      <c r="DO19" s="59" t="str">
        <f t="shared" si="29"/>
        <v>X</v>
      </c>
      <c r="DP19" s="60">
        <f>IF($H19=DO19,SUM(DP16:DP18)+1,SUM(DP16:DP18))</f>
        <v>0</v>
      </c>
    </row>
    <row r="20" spans="1:120" ht="13" customHeight="1" thickBot="1">
      <c r="A20" s="113">
        <f>A16+1</f>
        <v>43438</v>
      </c>
      <c r="B20" s="30" t="s">
        <v>140</v>
      </c>
      <c r="C20" s="31"/>
      <c r="D20" s="32" t="s">
        <v>141</v>
      </c>
      <c r="E20" s="33">
        <f t="shared" si="0"/>
        <v>0</v>
      </c>
      <c r="F20" s="34"/>
      <c r="G20" s="35"/>
      <c r="H20" s="36" t="b">
        <f t="shared" si="1"/>
        <v>0</v>
      </c>
      <c r="I20" s="37"/>
      <c r="J20" s="38"/>
      <c r="K20" s="39" t="str">
        <f t="shared" si="2"/>
        <v>X</v>
      </c>
      <c r="L20" s="40" t="b">
        <f>IF(ISNUMBER(I20), IF(K20=$H20,IF(I20=$F20,IF(J20=$G20,IF($F20-$G20&gt;=3,6,IF($G20-$F20&gt;=3,6,IF($F20+$G20&gt;=4,6,5))),3),3),0))</f>
        <v>0</v>
      </c>
      <c r="M20" s="37"/>
      <c r="N20" s="38"/>
      <c r="O20" s="39" t="str">
        <f t="shared" si="3"/>
        <v>X</v>
      </c>
      <c r="P20" s="40" t="b">
        <f>IF(ISNUMBER(M20), IF(O20=$H20,IF(M20=$F20,IF(N20=$G20,IF($F20-$G20&gt;=3,6,IF($G20-$F20&gt;=3,6,IF($F20+$G20&gt;=4,6,5))),3),3),0))</f>
        <v>0</v>
      </c>
      <c r="Q20" s="37"/>
      <c r="R20" s="38"/>
      <c r="S20" s="39" t="str">
        <f t="shared" si="4"/>
        <v>X</v>
      </c>
      <c r="T20" s="40" t="b">
        <f>IF(ISNUMBER(Q20), IF(S20=$H20,IF(Q20=$F20,IF(R20=$G20,IF($F20-$G20&gt;=3,6,IF($G20-$F20&gt;=3,6,IF($F20+$G20&gt;=4,6,5))),3),3),0))</f>
        <v>0</v>
      </c>
      <c r="U20" s="37"/>
      <c r="V20" s="38"/>
      <c r="W20" s="39" t="str">
        <f t="shared" si="5"/>
        <v>X</v>
      </c>
      <c r="X20" s="40" t="b">
        <f>IF(ISNUMBER(U20), IF(W20=$H20,IF(U20=$F20,IF(V20=$G20,IF($F20-$G20&gt;=3,6,IF($G20-$F20&gt;=3,6,IF($F20+$G20&gt;=4,6,5))),3),3),0))</f>
        <v>0</v>
      </c>
      <c r="Y20" s="37"/>
      <c r="Z20" s="38"/>
      <c r="AA20" s="39" t="str">
        <f t="shared" si="6"/>
        <v>X</v>
      </c>
      <c r="AB20" s="40" t="b">
        <f>IF(ISNUMBER(Y20), IF(AA20=$H20,IF(Y20=$F20,IF(Z20=$G20,IF($F20-$G20&gt;=3,6,IF($G20-$F20&gt;=3,6,IF($F20+$G20&gt;=4,6,5))),3),3),0))</f>
        <v>0</v>
      </c>
      <c r="AC20" s="37"/>
      <c r="AD20" s="38"/>
      <c r="AE20" s="39" t="str">
        <f t="shared" si="7"/>
        <v>X</v>
      </c>
      <c r="AF20" s="40" t="b">
        <f>IF(ISNUMBER(AC20), IF(AE20=$H20,IF(AC20=$F20,IF(AD20=$G20,IF($F20-$G20&gt;=3,6,IF($G20-$F20&gt;=3,6,IF($F20+$G20&gt;=4,6,5))),3),3),0))</f>
        <v>0</v>
      </c>
      <c r="AG20" s="37"/>
      <c r="AH20" s="38"/>
      <c r="AI20" s="39" t="str">
        <f t="shared" si="8"/>
        <v>X</v>
      </c>
      <c r="AJ20" s="40" t="b">
        <f>IF(ISNUMBER(AG20), IF(AI20=$H20,IF(AG20=$F20,IF(AH20=$G20,IF($F20-$G20&gt;=3,6,IF($G20-$F20&gt;=3,6,IF($F20+$G20&gt;=4,6,5))),3),3),0))</f>
        <v>0</v>
      </c>
      <c r="AK20" s="37"/>
      <c r="AL20" s="38"/>
      <c r="AM20" s="39" t="str">
        <f t="shared" si="9"/>
        <v>X</v>
      </c>
      <c r="AN20" s="40" t="b">
        <f>IF(ISNUMBER(AK20), IF(AM20=$H20,IF(AK20=$F20,IF(AL20=$G20,IF($F20-$G20&gt;=3,6,IF($G20-$F20&gt;=3,6,IF($F20+$G20&gt;=4,6,5))),3),3),0))</f>
        <v>0</v>
      </c>
      <c r="AO20" s="37"/>
      <c r="AP20" s="38"/>
      <c r="AQ20" s="39" t="str">
        <f t="shared" si="10"/>
        <v>X</v>
      </c>
      <c r="AR20" s="40" t="b">
        <f>IF(ISNUMBER(AO20), IF(AQ20=$H20,IF(AO20=$F20,IF(AP20=$G20,IF($F20-$G20&gt;=3,6,IF($G20-$F20&gt;=3,6,IF($F20+$G20&gt;=4,6,5))),3),3),0))</f>
        <v>0</v>
      </c>
      <c r="AS20" s="37"/>
      <c r="AT20" s="38"/>
      <c r="AU20" s="39" t="str">
        <f t="shared" si="11"/>
        <v>X</v>
      </c>
      <c r="AV20" s="40" t="b">
        <f>IF(ISNUMBER(AS20), IF(AU20=$H20,IF(AS20=$F20,IF(AT20=$G20,IF($F20-$G20&gt;=3,6,IF($G20-$F20&gt;=3,6,IF($F20+$G20&gt;=4,6,5))),3),3),0))</f>
        <v>0</v>
      </c>
      <c r="AW20" s="37"/>
      <c r="AX20" s="38"/>
      <c r="AY20" s="39" t="str">
        <f t="shared" si="12"/>
        <v>X</v>
      </c>
      <c r="AZ20" s="40" t="b">
        <f>IF(ISNUMBER(AW20), IF(AY20=$H20,IF(AW20=$F20,IF(AX20=$G20,IF($F20-$G20&gt;=3,6,IF($G20-$F20&gt;=3,6,IF($F20+$G20&gt;=4,6,5))),3),3),0))</f>
        <v>0</v>
      </c>
      <c r="BA20" s="37"/>
      <c r="BB20" s="38"/>
      <c r="BC20" s="39" t="str">
        <f t="shared" si="13"/>
        <v>X</v>
      </c>
      <c r="BD20" s="40" t="b">
        <f>IF(ISNUMBER(BA20), IF(BC20=$H20,IF(BA20=$F20,IF(BB20=$G20,IF($F20-$G20&gt;=3,6,IF($G20-$F20&gt;=3,6,IF($F20+$G20&gt;=4,6,5))),3),3),0))</f>
        <v>0</v>
      </c>
      <c r="BE20" s="37"/>
      <c r="BF20" s="38"/>
      <c r="BG20" s="39" t="str">
        <f t="shared" si="14"/>
        <v>X</v>
      </c>
      <c r="BH20" s="40" t="b">
        <f>IF(ISNUMBER(BE20), IF(BG20=$H20,IF(BE20=$F20,IF(BF20=$G20,IF($F20-$G20&gt;=3,6,IF($G20-$F20&gt;=3,6,IF($F20+$G20&gt;=4,6,5))),3),3),0))</f>
        <v>0</v>
      </c>
      <c r="BI20" s="37"/>
      <c r="BJ20" s="38"/>
      <c r="BK20" s="39" t="str">
        <f t="shared" si="15"/>
        <v>X</v>
      </c>
      <c r="BL20" s="40" t="b">
        <f>IF(ISNUMBER(BI20), IF(BK20=$H20,IF(BI20=$F20,IF(BJ20=$G20,IF($F20-$G20&gt;=3,6,IF($G20-$F20&gt;=3,6,IF($F20+$G20&gt;=4,6,5))),3),3),0))</f>
        <v>0</v>
      </c>
      <c r="BM20" s="37"/>
      <c r="BN20" s="38"/>
      <c r="BO20" s="39" t="str">
        <f t="shared" si="16"/>
        <v>X</v>
      </c>
      <c r="BP20" s="40" t="b">
        <f>IF(ISNUMBER(BM20), IF(BO20=$H20,IF(BM20=$F20,IF(BN20=$G20,IF($F20-$G20&gt;=3,6,IF($G20-$F20&gt;=3,6,IF($F20+$G20&gt;=4,6,5))),3),3),0))</f>
        <v>0</v>
      </c>
      <c r="BQ20" s="37"/>
      <c r="BR20" s="38"/>
      <c r="BS20" s="39" t="str">
        <f t="shared" si="17"/>
        <v>X</v>
      </c>
      <c r="BT20" s="40" t="b">
        <f>IF(ISNUMBER(BQ20), IF(BS20=$H20,IF(BQ20=$F20,IF(BR20=$G20,IF($F20-$G20&gt;=3,6,IF($G20-$F20&gt;=3,6,IF($F20+$G20&gt;=4,6,5))),3),3),0))</f>
        <v>0</v>
      </c>
      <c r="BU20" s="37"/>
      <c r="BV20" s="38"/>
      <c r="BW20" s="39" t="str">
        <f t="shared" si="18"/>
        <v>X</v>
      </c>
      <c r="BX20" s="40" t="b">
        <f>IF(ISNUMBER(BU20), IF(BW20=$H20,IF(BU20=$F20,IF(BV20=$G20,IF($F20-$G20&gt;=3,6,IF($G20-$F20&gt;=3,6,IF($F20+$G20&gt;=4,6,5))),3),3),0))</f>
        <v>0</v>
      </c>
      <c r="BY20" s="37"/>
      <c r="BZ20" s="38"/>
      <c r="CA20" s="39" t="str">
        <f t="shared" si="19"/>
        <v>X</v>
      </c>
      <c r="CB20" s="40" t="b">
        <f>IF(ISNUMBER(BY20), IF(CA20=$H20,IF(BY20=$F20,IF(BZ20=$G20,IF($F20-$G20&gt;=3,6,IF($G20-$F20&gt;=3,6,IF($F20+$G20&gt;=4,6,5))),3),3),0))</f>
        <v>0</v>
      </c>
      <c r="CC20" s="37"/>
      <c r="CD20" s="38"/>
      <c r="CE20" s="39" t="str">
        <f t="shared" si="20"/>
        <v>X</v>
      </c>
      <c r="CF20" s="40" t="b">
        <f>IF(ISNUMBER(CC20), IF(CE20=$H20,IF(CC20=$F20,IF(CD20=$G20,IF($F20-$G20&gt;=3,6,IF($G20-$F20&gt;=3,6,IF($F20+$G20&gt;=4,6,5))),3),3),0))</f>
        <v>0</v>
      </c>
      <c r="CG20" s="37"/>
      <c r="CH20" s="38"/>
      <c r="CI20" s="39" t="str">
        <f t="shared" si="21"/>
        <v>X</v>
      </c>
      <c r="CJ20" s="40" t="b">
        <f>IF(ISNUMBER(CG20), IF(CI20=$H20,IF(CG20=$F20,IF(CH20=$G20,IF($F20-$G20&gt;=3,6,IF($G20-$F20&gt;=3,6,IF($F20+$G20&gt;=4,6,5))),3),3),0))</f>
        <v>0</v>
      </c>
      <c r="CK20" s="37"/>
      <c r="CL20" s="38"/>
      <c r="CM20" s="39" t="str">
        <f t="shared" si="22"/>
        <v>X</v>
      </c>
      <c r="CN20" s="40" t="b">
        <f>IF(ISNUMBER(CK20), IF(CM20=$H20,IF(CK20=$F20,IF(CL20=$G20,IF($F20-$G20&gt;=3,6,IF($G20-$F20&gt;=3,6,IF($F20+$G20&gt;=4,6,5))),3),3),0))</f>
        <v>0</v>
      </c>
      <c r="CO20" s="37"/>
      <c r="CP20" s="38"/>
      <c r="CQ20" s="39" t="str">
        <f t="shared" si="23"/>
        <v>X</v>
      </c>
      <c r="CR20" s="40" t="b">
        <f>IF(ISNUMBER(CO20), IF(CQ20=$H20,IF(CO20=$F20,IF(CP20=$G20,IF($F20-$G20&gt;=3,6,IF($G20-$F20&gt;=3,6,IF($F20+$G20&gt;=4,6,5))),3),3),0))</f>
        <v>0</v>
      </c>
      <c r="CS20" s="37"/>
      <c r="CT20" s="38"/>
      <c r="CU20" s="39" t="str">
        <f t="shared" si="24"/>
        <v>X</v>
      </c>
      <c r="CV20" s="40" t="b">
        <f>IF(ISNUMBER(CS20), IF(CU20=$H20,IF(CS20=$F20,IF(CT20=$G20,IF($F20-$G20&gt;=3,6,IF($G20-$F20&gt;=3,6,IF($F20+$G20&gt;=4,6,5))),3),3),0))</f>
        <v>0</v>
      </c>
      <c r="CW20" s="37"/>
      <c r="CX20" s="38"/>
      <c r="CY20" s="39" t="str">
        <f t="shared" si="25"/>
        <v>X</v>
      </c>
      <c r="CZ20" s="40" t="b">
        <f>IF(ISNUMBER(CW20), IF(CY20=$H20,IF(CW20=$F20,IF(CX20=$G20,IF($F20-$G20&gt;=3,6,IF($G20-$F20&gt;=3,6,IF($F20+$G20&gt;=4,6,5))),3),3),0))</f>
        <v>0</v>
      </c>
      <c r="DA20" s="37"/>
      <c r="DB20" s="38"/>
      <c r="DC20" s="39" t="str">
        <f t="shared" si="26"/>
        <v>X</v>
      </c>
      <c r="DD20" s="40" t="b">
        <f>IF(ISNUMBER(DA20), IF(DC20=$H20,IF(DA20=$F20,IF(DB20=$G20,IF($F20-$G20&gt;=3,6,IF($G20-$F20&gt;=3,6,IF($F20+$G20&gt;=4,6,5))),3),3),0))</f>
        <v>0</v>
      </c>
      <c r="DE20" s="37"/>
      <c r="DF20" s="38"/>
      <c r="DG20" s="39" t="str">
        <f t="shared" si="27"/>
        <v>X</v>
      </c>
      <c r="DH20" s="40" t="b">
        <f>IF(ISNUMBER(DE20), IF(DG20=$H20,IF(DE20=$F20,IF(DF20=$G20,IF($F20-$G20&gt;=3,6,IF($G20-$F20&gt;=3,6,IF($F20+$G20&gt;=4,6,5))),3),3),0))</f>
        <v>0</v>
      </c>
      <c r="DI20" s="37"/>
      <c r="DJ20" s="38"/>
      <c r="DK20" s="39" t="str">
        <f t="shared" si="28"/>
        <v>X</v>
      </c>
      <c r="DL20" s="40" t="b">
        <f>IF(ISNUMBER(DI20), IF(DK20=$H20,IF(DI20=$F20,IF(DJ20=$G20,IF($F20-$G20&gt;=3,6,IF($G20-$F20&gt;=3,6,IF($F20+$G20&gt;=4,6,5))),3),3),0))</f>
        <v>0</v>
      </c>
      <c r="DM20" s="37"/>
      <c r="DN20" s="38"/>
      <c r="DO20" s="39" t="str">
        <f t="shared" si="29"/>
        <v>X</v>
      </c>
      <c r="DP20" s="40" t="b">
        <f>IF(ISNUMBER(DM20), IF(DO20=$H20,IF(DM20=$F20,IF(DN20=$G20,IF($F20-$G20&gt;=3,6,IF($G20-$F20&gt;=3,6,IF($F20+$G20&gt;=4,6,5))),3),3),0))</f>
        <v>0</v>
      </c>
    </row>
    <row r="21" spans="1:120" ht="13" customHeight="1" thickBot="1">
      <c r="A21" s="41"/>
      <c r="B21" s="42"/>
      <c r="C21" s="43"/>
      <c r="D21" s="44" t="s">
        <v>142</v>
      </c>
      <c r="E21" s="33">
        <f t="shared" si="0"/>
        <v>0</v>
      </c>
      <c r="F21" s="45"/>
      <c r="G21" s="46"/>
      <c r="H21" s="47" t="b">
        <f t="shared" si="1"/>
        <v>0</v>
      </c>
      <c r="I21" s="48"/>
      <c r="J21" s="49"/>
      <c r="K21" s="50" t="str">
        <f t="shared" si="2"/>
        <v>X</v>
      </c>
      <c r="L21" s="51" t="b">
        <f>IF(ISNUMBER(I21), IF(K21=$H21,IF(I21=$F21,IF(J21=$G21,2,1),1),0))</f>
        <v>0</v>
      </c>
      <c r="M21" s="48"/>
      <c r="N21" s="49"/>
      <c r="O21" s="50" t="str">
        <f t="shared" si="3"/>
        <v>X</v>
      </c>
      <c r="P21" s="51" t="b">
        <f>IF(ISNUMBER(M21), IF(O21=$H21,IF(M21=$F21,IF(N21=$G21,2,1),1),0))</f>
        <v>0</v>
      </c>
      <c r="Q21" s="48"/>
      <c r="R21" s="49"/>
      <c r="S21" s="50" t="str">
        <f t="shared" si="4"/>
        <v>X</v>
      </c>
      <c r="T21" s="51" t="b">
        <f>IF(ISNUMBER(Q21), IF(S21=$H21,IF(Q21=$F21,IF(R21=$G21,2,1),1),0))</f>
        <v>0</v>
      </c>
      <c r="U21" s="48"/>
      <c r="V21" s="49"/>
      <c r="W21" s="50" t="str">
        <f t="shared" si="5"/>
        <v>X</v>
      </c>
      <c r="X21" s="51" t="b">
        <f>IF(ISNUMBER(U21), IF(W21=$H21,IF(U21=$F21,IF(V21=$G21,2,1),1),0))</f>
        <v>0</v>
      </c>
      <c r="Y21" s="48"/>
      <c r="Z21" s="49"/>
      <c r="AA21" s="50" t="str">
        <f t="shared" si="6"/>
        <v>X</v>
      </c>
      <c r="AB21" s="51" t="b">
        <f>IF(ISNUMBER(Y21), IF(AA21=$H21,IF(Y21=$F21,IF(Z21=$G21,2,1),1),0))</f>
        <v>0</v>
      </c>
      <c r="AC21" s="48"/>
      <c r="AD21" s="49"/>
      <c r="AE21" s="50" t="str">
        <f t="shared" si="7"/>
        <v>X</v>
      </c>
      <c r="AF21" s="51" t="b">
        <f>IF(ISNUMBER(AC21), IF(AE21=$H21,IF(AC21=$F21,IF(AD21=$G21,2,1),1),0))</f>
        <v>0</v>
      </c>
      <c r="AG21" s="48"/>
      <c r="AH21" s="49"/>
      <c r="AI21" s="50" t="str">
        <f t="shared" si="8"/>
        <v>X</v>
      </c>
      <c r="AJ21" s="51" t="b">
        <f>IF(ISNUMBER(AG21), IF(AI21=$H21,IF(AG21=$F21,IF(AH21=$G21,2,1),1),0))</f>
        <v>0</v>
      </c>
      <c r="AK21" s="48"/>
      <c r="AL21" s="49"/>
      <c r="AM21" s="50" t="str">
        <f t="shared" si="9"/>
        <v>X</v>
      </c>
      <c r="AN21" s="51" t="b">
        <f>IF(ISNUMBER(AK21), IF(AM21=$H21,IF(AK21=$F21,IF(AL21=$G21,2,1),1),0))</f>
        <v>0</v>
      </c>
      <c r="AO21" s="48"/>
      <c r="AP21" s="49"/>
      <c r="AQ21" s="50" t="str">
        <f t="shared" si="10"/>
        <v>X</v>
      </c>
      <c r="AR21" s="51" t="b">
        <f>IF(ISNUMBER(AO21), IF(AQ21=$H21,IF(AO21=$F21,IF(AP21=$G21,2,1),1),0))</f>
        <v>0</v>
      </c>
      <c r="AS21" s="48"/>
      <c r="AT21" s="49"/>
      <c r="AU21" s="50" t="str">
        <f t="shared" si="11"/>
        <v>X</v>
      </c>
      <c r="AV21" s="51" t="b">
        <f>IF(ISNUMBER(AS21), IF(AU21=$H21,IF(AS21=$F21,IF(AT21=$G21,2,1),1),0))</f>
        <v>0</v>
      </c>
      <c r="AW21" s="48"/>
      <c r="AX21" s="49"/>
      <c r="AY21" s="50" t="str">
        <f t="shared" si="12"/>
        <v>X</v>
      </c>
      <c r="AZ21" s="51" t="b">
        <f>IF(ISNUMBER(AW21), IF(AY21=$H21,IF(AW21=$F21,IF(AX21=$G21,2,1),1),0))</f>
        <v>0</v>
      </c>
      <c r="BA21" s="48"/>
      <c r="BB21" s="49"/>
      <c r="BC21" s="50" t="str">
        <f t="shared" si="13"/>
        <v>X</v>
      </c>
      <c r="BD21" s="51" t="b">
        <f>IF(ISNUMBER(BA21), IF(BC21=$H21,IF(BA21=$F21,IF(BB21=$G21,2,1),1),0))</f>
        <v>0</v>
      </c>
      <c r="BE21" s="48"/>
      <c r="BF21" s="49"/>
      <c r="BG21" s="50" t="str">
        <f t="shared" si="14"/>
        <v>X</v>
      </c>
      <c r="BH21" s="51" t="b">
        <f>IF(ISNUMBER(BE21), IF(BG21=$H21,IF(BE21=$F21,IF(BF21=$G21,2,1),1),0))</f>
        <v>0</v>
      </c>
      <c r="BI21" s="48"/>
      <c r="BJ21" s="49"/>
      <c r="BK21" s="50" t="str">
        <f t="shared" si="15"/>
        <v>X</v>
      </c>
      <c r="BL21" s="51" t="b">
        <f>IF(ISNUMBER(BI21), IF(BK21=$H21,IF(BI21=$F21,IF(BJ21=$G21,2,1),1),0))</f>
        <v>0</v>
      </c>
      <c r="BM21" s="48"/>
      <c r="BN21" s="49"/>
      <c r="BO21" s="50" t="str">
        <f t="shared" si="16"/>
        <v>X</v>
      </c>
      <c r="BP21" s="51" t="b">
        <f>IF(ISNUMBER(BM21), IF(BO21=$H21,IF(BM21=$F21,IF(BN21=$G21,2,1),1),0))</f>
        <v>0</v>
      </c>
      <c r="BQ21" s="48"/>
      <c r="BR21" s="49"/>
      <c r="BS21" s="50" t="str">
        <f t="shared" si="17"/>
        <v>X</v>
      </c>
      <c r="BT21" s="51" t="b">
        <f>IF(ISNUMBER(BQ21), IF(BS21=$H21,IF(BQ21=$F21,IF(BR21=$G21,2,1),1),0))</f>
        <v>0</v>
      </c>
      <c r="BU21" s="48"/>
      <c r="BV21" s="49"/>
      <c r="BW21" s="50" t="str">
        <f t="shared" si="18"/>
        <v>X</v>
      </c>
      <c r="BX21" s="51" t="b">
        <f>IF(ISNUMBER(BU21), IF(BW21=$H21,IF(BU21=$F21,IF(BV21=$G21,2,1),1),0))</f>
        <v>0</v>
      </c>
      <c r="BY21" s="48"/>
      <c r="BZ21" s="49"/>
      <c r="CA21" s="50" t="str">
        <f t="shared" si="19"/>
        <v>X</v>
      </c>
      <c r="CB21" s="51" t="b">
        <f>IF(ISNUMBER(BY21), IF(CA21=$H21,IF(BY21=$F21,IF(BZ21=$G21,2,1),1),0))</f>
        <v>0</v>
      </c>
      <c r="CC21" s="48"/>
      <c r="CD21" s="49"/>
      <c r="CE21" s="50" t="str">
        <f t="shared" si="20"/>
        <v>X</v>
      </c>
      <c r="CF21" s="51" t="b">
        <f>IF(ISNUMBER(CC21), IF(CE21=$H21,IF(CC21=$F21,IF(CD21=$G21,2,1),1),0))</f>
        <v>0</v>
      </c>
      <c r="CG21" s="48"/>
      <c r="CH21" s="49"/>
      <c r="CI21" s="50" t="str">
        <f t="shared" si="21"/>
        <v>X</v>
      </c>
      <c r="CJ21" s="51" t="b">
        <f>IF(ISNUMBER(CG21), IF(CI21=$H21,IF(CG21=$F21,IF(CH21=$G21,2,1),1),0))</f>
        <v>0</v>
      </c>
      <c r="CK21" s="48"/>
      <c r="CL21" s="49"/>
      <c r="CM21" s="50" t="str">
        <f t="shared" si="22"/>
        <v>X</v>
      </c>
      <c r="CN21" s="51" t="b">
        <f>IF(ISNUMBER(CK21), IF(CM21=$H21,IF(CK21=$F21,IF(CL21=$G21,2,1),1),0))</f>
        <v>0</v>
      </c>
      <c r="CO21" s="48"/>
      <c r="CP21" s="49"/>
      <c r="CQ21" s="50" t="str">
        <f t="shared" si="23"/>
        <v>X</v>
      </c>
      <c r="CR21" s="51" t="b">
        <f>IF(ISNUMBER(CO21), IF(CQ21=$H21,IF(CO21=$F21,IF(CP21=$G21,2,1),1),0))</f>
        <v>0</v>
      </c>
      <c r="CS21" s="48"/>
      <c r="CT21" s="49"/>
      <c r="CU21" s="50" t="str">
        <f t="shared" si="24"/>
        <v>X</v>
      </c>
      <c r="CV21" s="51" t="b">
        <f>IF(ISNUMBER(CS21), IF(CU21=$H21,IF(CS21=$F21,IF(CT21=$G21,2,1),1),0))</f>
        <v>0</v>
      </c>
      <c r="CW21" s="48"/>
      <c r="CX21" s="49"/>
      <c r="CY21" s="50" t="str">
        <f t="shared" si="25"/>
        <v>X</v>
      </c>
      <c r="CZ21" s="51" t="b">
        <f>IF(ISNUMBER(CW21), IF(CY21=$H21,IF(CW21=$F21,IF(CX21=$G21,2,1),1),0))</f>
        <v>0</v>
      </c>
      <c r="DA21" s="48"/>
      <c r="DB21" s="49"/>
      <c r="DC21" s="50" t="str">
        <f t="shared" si="26"/>
        <v>X</v>
      </c>
      <c r="DD21" s="51" t="b">
        <f>IF(ISNUMBER(DA21), IF(DC21=$H21,IF(DA21=$F21,IF(DB21=$G21,2,1),1),0))</f>
        <v>0</v>
      </c>
      <c r="DE21" s="48"/>
      <c r="DF21" s="49"/>
      <c r="DG21" s="50" t="str">
        <f t="shared" si="27"/>
        <v>X</v>
      </c>
      <c r="DH21" s="51" t="b">
        <f>IF(ISNUMBER(DE21), IF(DG21=$H21,IF(DE21=$F21,IF(DF21=$G21,2,1),1),0))</f>
        <v>0</v>
      </c>
      <c r="DI21" s="48"/>
      <c r="DJ21" s="49"/>
      <c r="DK21" s="50" t="str">
        <f t="shared" si="28"/>
        <v>X</v>
      </c>
      <c r="DL21" s="51" t="b">
        <f>IF(ISNUMBER(DI21), IF(DK21=$H21,IF(DI21=$F21,IF(DJ21=$G21,2,1),1),0))</f>
        <v>0</v>
      </c>
      <c r="DM21" s="48"/>
      <c r="DN21" s="49"/>
      <c r="DO21" s="50" t="str">
        <f t="shared" si="29"/>
        <v>X</v>
      </c>
      <c r="DP21" s="51" t="b">
        <f>IF(ISNUMBER(DM21), IF(DO21=$H21,IF(DM21=$F21,IF(DN21=$G21,2,1),1),0))</f>
        <v>0</v>
      </c>
    </row>
    <row r="22" spans="1:120" ht="13" customHeight="1" thickBot="1">
      <c r="A22" s="41"/>
      <c r="B22" s="42"/>
      <c r="C22" s="43"/>
      <c r="D22" s="44" t="s">
        <v>143</v>
      </c>
      <c r="E22" s="33">
        <f t="shared" si="0"/>
        <v>0</v>
      </c>
      <c r="F22" s="45"/>
      <c r="G22" s="46"/>
      <c r="H22" s="47" t="b">
        <f t="shared" si="1"/>
        <v>0</v>
      </c>
      <c r="I22" s="48"/>
      <c r="J22" s="49"/>
      <c r="K22" s="50" t="str">
        <f t="shared" si="2"/>
        <v>X</v>
      </c>
      <c r="L22" s="51" t="b">
        <f>IF(ISNUMBER(I22), IF(K22=$H22,IF(I22=$F22,IF(J22=$G22,2,1),1),0))</f>
        <v>0</v>
      </c>
      <c r="M22" s="48"/>
      <c r="N22" s="49"/>
      <c r="O22" s="50" t="str">
        <f t="shared" si="3"/>
        <v>X</v>
      </c>
      <c r="P22" s="51" t="b">
        <f>IF(ISNUMBER(M22), IF(O22=$H22,IF(M22=$F22,IF(N22=$G22,2,1),1),0))</f>
        <v>0</v>
      </c>
      <c r="Q22" s="48"/>
      <c r="R22" s="49"/>
      <c r="S22" s="50" t="str">
        <f t="shared" si="4"/>
        <v>X</v>
      </c>
      <c r="T22" s="51" t="b">
        <f>IF(ISNUMBER(Q22), IF(S22=$H22,IF(Q22=$F22,IF(R22=$G22,2,1),1),0))</f>
        <v>0</v>
      </c>
      <c r="U22" s="48"/>
      <c r="V22" s="49"/>
      <c r="W22" s="50" t="str">
        <f t="shared" si="5"/>
        <v>X</v>
      </c>
      <c r="X22" s="51" t="b">
        <f>IF(ISNUMBER(U22), IF(W22=$H22,IF(U22=$F22,IF(V22=$G22,2,1),1),0))</f>
        <v>0</v>
      </c>
      <c r="Y22" s="48"/>
      <c r="Z22" s="49"/>
      <c r="AA22" s="50" t="str">
        <f t="shared" si="6"/>
        <v>X</v>
      </c>
      <c r="AB22" s="51" t="b">
        <f>IF(ISNUMBER(Y22), IF(AA22=$H22,IF(Y22=$F22,IF(Z22=$G22,2,1),1),0))</f>
        <v>0</v>
      </c>
      <c r="AC22" s="48"/>
      <c r="AD22" s="49"/>
      <c r="AE22" s="50" t="str">
        <f t="shared" si="7"/>
        <v>X</v>
      </c>
      <c r="AF22" s="51" t="b">
        <f>IF(ISNUMBER(AC22), IF(AE22=$H22,IF(AC22=$F22,IF(AD22=$G22,2,1),1),0))</f>
        <v>0</v>
      </c>
      <c r="AG22" s="48"/>
      <c r="AH22" s="49"/>
      <c r="AI22" s="50" t="str">
        <f t="shared" si="8"/>
        <v>X</v>
      </c>
      <c r="AJ22" s="51" t="b">
        <f>IF(ISNUMBER(AG22), IF(AI22=$H22,IF(AG22=$F22,IF(AH22=$G22,2,1),1),0))</f>
        <v>0</v>
      </c>
      <c r="AK22" s="48"/>
      <c r="AL22" s="49"/>
      <c r="AM22" s="50" t="str">
        <f t="shared" si="9"/>
        <v>X</v>
      </c>
      <c r="AN22" s="51" t="b">
        <f>IF(ISNUMBER(AK22), IF(AM22=$H22,IF(AK22=$F22,IF(AL22=$G22,2,1),1),0))</f>
        <v>0</v>
      </c>
      <c r="AO22" s="48"/>
      <c r="AP22" s="49"/>
      <c r="AQ22" s="50" t="str">
        <f t="shared" si="10"/>
        <v>X</v>
      </c>
      <c r="AR22" s="51" t="b">
        <f>IF(ISNUMBER(AO22), IF(AQ22=$H22,IF(AO22=$F22,IF(AP22=$G22,2,1),1),0))</f>
        <v>0</v>
      </c>
      <c r="AS22" s="48"/>
      <c r="AT22" s="49"/>
      <c r="AU22" s="50" t="str">
        <f t="shared" si="11"/>
        <v>X</v>
      </c>
      <c r="AV22" s="51" t="b">
        <f>IF(ISNUMBER(AS22), IF(AU22=$H22,IF(AS22=$F22,IF(AT22=$G22,2,1),1),0))</f>
        <v>0</v>
      </c>
      <c r="AW22" s="48"/>
      <c r="AX22" s="49"/>
      <c r="AY22" s="50" t="str">
        <f t="shared" si="12"/>
        <v>X</v>
      </c>
      <c r="AZ22" s="51" t="b">
        <f>IF(ISNUMBER(AW22), IF(AY22=$H22,IF(AW22=$F22,IF(AX22=$G22,2,1),1),0))</f>
        <v>0</v>
      </c>
      <c r="BA22" s="48"/>
      <c r="BB22" s="49"/>
      <c r="BC22" s="50" t="str">
        <f t="shared" si="13"/>
        <v>X</v>
      </c>
      <c r="BD22" s="51" t="b">
        <f>IF(ISNUMBER(BA22), IF(BC22=$H22,IF(BA22=$F22,IF(BB22=$G22,2,1),1),0))</f>
        <v>0</v>
      </c>
      <c r="BE22" s="48"/>
      <c r="BF22" s="49"/>
      <c r="BG22" s="50" t="str">
        <f t="shared" si="14"/>
        <v>X</v>
      </c>
      <c r="BH22" s="51" t="b">
        <f>IF(ISNUMBER(BE22), IF(BG22=$H22,IF(BE22=$F22,IF(BF22=$G22,2,1),1),0))</f>
        <v>0</v>
      </c>
      <c r="BI22" s="48"/>
      <c r="BJ22" s="49"/>
      <c r="BK22" s="50" t="str">
        <f t="shared" si="15"/>
        <v>X</v>
      </c>
      <c r="BL22" s="51" t="b">
        <f>IF(ISNUMBER(BI22), IF(BK22=$H22,IF(BI22=$F22,IF(BJ22=$G22,2,1),1),0))</f>
        <v>0</v>
      </c>
      <c r="BM22" s="48"/>
      <c r="BN22" s="49"/>
      <c r="BO22" s="50" t="str">
        <f t="shared" si="16"/>
        <v>X</v>
      </c>
      <c r="BP22" s="51" t="b">
        <f>IF(ISNUMBER(BM22), IF(BO22=$H22,IF(BM22=$F22,IF(BN22=$G22,2,1),1),0))</f>
        <v>0</v>
      </c>
      <c r="BQ22" s="48"/>
      <c r="BR22" s="49"/>
      <c r="BS22" s="50" t="str">
        <f t="shared" si="17"/>
        <v>X</v>
      </c>
      <c r="BT22" s="51" t="b">
        <f>IF(ISNUMBER(BQ22), IF(BS22=$H22,IF(BQ22=$F22,IF(BR22=$G22,2,1),1),0))</f>
        <v>0</v>
      </c>
      <c r="BU22" s="48"/>
      <c r="BV22" s="49"/>
      <c r="BW22" s="50" t="str">
        <f t="shared" si="18"/>
        <v>X</v>
      </c>
      <c r="BX22" s="51" t="b">
        <f>IF(ISNUMBER(BU22), IF(BW22=$H22,IF(BU22=$F22,IF(BV22=$G22,2,1),1),0))</f>
        <v>0</v>
      </c>
      <c r="BY22" s="48"/>
      <c r="BZ22" s="49"/>
      <c r="CA22" s="50" t="str">
        <f t="shared" si="19"/>
        <v>X</v>
      </c>
      <c r="CB22" s="51" t="b">
        <f>IF(ISNUMBER(BY22), IF(CA22=$H22,IF(BY22=$F22,IF(BZ22=$G22,2,1),1),0))</f>
        <v>0</v>
      </c>
      <c r="CC22" s="48"/>
      <c r="CD22" s="49"/>
      <c r="CE22" s="50" t="str">
        <f t="shared" si="20"/>
        <v>X</v>
      </c>
      <c r="CF22" s="51" t="b">
        <f>IF(ISNUMBER(CC22), IF(CE22=$H22,IF(CC22=$F22,IF(CD22=$G22,2,1),1),0))</f>
        <v>0</v>
      </c>
      <c r="CG22" s="48"/>
      <c r="CH22" s="49"/>
      <c r="CI22" s="50" t="str">
        <f t="shared" si="21"/>
        <v>X</v>
      </c>
      <c r="CJ22" s="51" t="b">
        <f>IF(ISNUMBER(CG22), IF(CI22=$H22,IF(CG22=$F22,IF(CH22=$G22,2,1),1),0))</f>
        <v>0</v>
      </c>
      <c r="CK22" s="48"/>
      <c r="CL22" s="49"/>
      <c r="CM22" s="50" t="str">
        <f t="shared" si="22"/>
        <v>X</v>
      </c>
      <c r="CN22" s="51" t="b">
        <f>IF(ISNUMBER(CK22), IF(CM22=$H22,IF(CK22=$F22,IF(CL22=$G22,2,1),1),0))</f>
        <v>0</v>
      </c>
      <c r="CO22" s="48"/>
      <c r="CP22" s="49"/>
      <c r="CQ22" s="50" t="str">
        <f t="shared" si="23"/>
        <v>X</v>
      </c>
      <c r="CR22" s="51" t="b">
        <f>IF(ISNUMBER(CO22), IF(CQ22=$H22,IF(CO22=$F22,IF(CP22=$G22,2,1),1),0))</f>
        <v>0</v>
      </c>
      <c r="CS22" s="48"/>
      <c r="CT22" s="49"/>
      <c r="CU22" s="50" t="str">
        <f t="shared" si="24"/>
        <v>X</v>
      </c>
      <c r="CV22" s="51" t="b">
        <f>IF(ISNUMBER(CS22), IF(CU22=$H22,IF(CS22=$F22,IF(CT22=$G22,2,1),1),0))</f>
        <v>0</v>
      </c>
      <c r="CW22" s="48"/>
      <c r="CX22" s="49"/>
      <c r="CY22" s="50" t="str">
        <f t="shared" si="25"/>
        <v>X</v>
      </c>
      <c r="CZ22" s="51" t="b">
        <f>IF(ISNUMBER(CW22), IF(CY22=$H22,IF(CW22=$F22,IF(CX22=$G22,2,1),1),0))</f>
        <v>0</v>
      </c>
      <c r="DA22" s="48"/>
      <c r="DB22" s="49"/>
      <c r="DC22" s="50" t="str">
        <f t="shared" si="26"/>
        <v>X</v>
      </c>
      <c r="DD22" s="51" t="b">
        <f>IF(ISNUMBER(DA22), IF(DC22=$H22,IF(DA22=$F22,IF(DB22=$G22,2,1),1),0))</f>
        <v>0</v>
      </c>
      <c r="DE22" s="48"/>
      <c r="DF22" s="49"/>
      <c r="DG22" s="50" t="str">
        <f t="shared" si="27"/>
        <v>X</v>
      </c>
      <c r="DH22" s="51" t="b">
        <f>IF(ISNUMBER(DE22), IF(DG22=$H22,IF(DE22=$F22,IF(DF22=$G22,2,1),1),0))</f>
        <v>0</v>
      </c>
      <c r="DI22" s="48"/>
      <c r="DJ22" s="49"/>
      <c r="DK22" s="50" t="str">
        <f t="shared" si="28"/>
        <v>X</v>
      </c>
      <c r="DL22" s="51" t="b">
        <f>IF(ISNUMBER(DI22), IF(DK22=$H22,IF(DI22=$F22,IF(DJ22=$G22,2,1),1),0))</f>
        <v>0</v>
      </c>
      <c r="DM22" s="48"/>
      <c r="DN22" s="49"/>
      <c r="DO22" s="50" t="str">
        <f t="shared" si="29"/>
        <v>X</v>
      </c>
      <c r="DP22" s="51" t="b">
        <f>IF(ISNUMBER(DM22), IF(DO22=$H22,IF(DM22=$F22,IF(DN22=$G22,2,1),1),0))</f>
        <v>0</v>
      </c>
    </row>
    <row r="23" spans="1:120" s="25" customFormat="1" ht="13" customHeight="1" thickBot="1">
      <c r="A23" s="52"/>
      <c r="B23" s="53"/>
      <c r="C23" s="54"/>
      <c r="D23" s="55" t="s">
        <v>144</v>
      </c>
      <c r="E23" s="33">
        <f t="shared" si="0"/>
        <v>0</v>
      </c>
      <c r="F23" s="56"/>
      <c r="G23" s="56"/>
      <c r="H23" s="57" t="b">
        <f t="shared" si="1"/>
        <v>0</v>
      </c>
      <c r="I23" s="58">
        <f>SUM(I20:I22)</f>
        <v>0</v>
      </c>
      <c r="J23" s="59">
        <f>SUM(J20:J22)</f>
        <v>0</v>
      </c>
      <c r="K23" s="59" t="str">
        <f t="shared" si="2"/>
        <v>X</v>
      </c>
      <c r="L23" s="60">
        <f>IF($H23=K23,SUM(L20:L22)+1,SUM(L20:L22))</f>
        <v>0</v>
      </c>
      <c r="M23" s="58">
        <f>SUM(M20:M22)</f>
        <v>0</v>
      </c>
      <c r="N23" s="59">
        <f>SUM(N20:N22)</f>
        <v>0</v>
      </c>
      <c r="O23" s="59" t="str">
        <f t="shared" si="3"/>
        <v>X</v>
      </c>
      <c r="P23" s="60">
        <f>IF($H23=O23,SUM(P20:P22)+1,SUM(P20:P22))</f>
        <v>0</v>
      </c>
      <c r="Q23" s="58">
        <f>SUM(Q20:Q22)</f>
        <v>0</v>
      </c>
      <c r="R23" s="59">
        <f>SUM(R20:R22)</f>
        <v>0</v>
      </c>
      <c r="S23" s="59" t="str">
        <f t="shared" si="4"/>
        <v>X</v>
      </c>
      <c r="T23" s="60">
        <f>IF($H23=S23,SUM(T20:T22)+1,SUM(T20:T22))</f>
        <v>0</v>
      </c>
      <c r="U23" s="58">
        <f>SUM(U20:U22)</f>
        <v>0</v>
      </c>
      <c r="V23" s="59">
        <f>SUM(V20:V22)</f>
        <v>0</v>
      </c>
      <c r="W23" s="59" t="str">
        <f t="shared" si="5"/>
        <v>X</v>
      </c>
      <c r="X23" s="60">
        <f>IF($H23=W23,SUM(X20:X22)+1,SUM(X20:X22))</f>
        <v>0</v>
      </c>
      <c r="Y23" s="58">
        <f>SUM(Y20:Y22)</f>
        <v>0</v>
      </c>
      <c r="Z23" s="59">
        <f>SUM(Z20:Z22)</f>
        <v>0</v>
      </c>
      <c r="AA23" s="59" t="str">
        <f t="shared" si="6"/>
        <v>X</v>
      </c>
      <c r="AB23" s="60">
        <f>IF($H23=AA23,SUM(AB20:AB22)+1,SUM(AB20:AB22))</f>
        <v>0</v>
      </c>
      <c r="AC23" s="58">
        <f>SUM(AC20:AC22)</f>
        <v>0</v>
      </c>
      <c r="AD23" s="59">
        <f>SUM(AD20:AD22)</f>
        <v>0</v>
      </c>
      <c r="AE23" s="59" t="str">
        <f t="shared" si="7"/>
        <v>X</v>
      </c>
      <c r="AF23" s="60">
        <f>IF($H23=AE23,SUM(AF20:AF22)+1,SUM(AF20:AF22))</f>
        <v>0</v>
      </c>
      <c r="AG23" s="58">
        <f>SUM(AG20:AG22)</f>
        <v>0</v>
      </c>
      <c r="AH23" s="59">
        <f>SUM(AH20:AH22)</f>
        <v>0</v>
      </c>
      <c r="AI23" s="59" t="str">
        <f t="shared" si="8"/>
        <v>X</v>
      </c>
      <c r="AJ23" s="60">
        <f>IF($H23=AI23,SUM(AJ20:AJ22)+1,SUM(AJ20:AJ22))</f>
        <v>0</v>
      </c>
      <c r="AK23" s="58">
        <f>SUM(AK20:AK22)</f>
        <v>0</v>
      </c>
      <c r="AL23" s="59">
        <f>SUM(AL20:AL22)</f>
        <v>0</v>
      </c>
      <c r="AM23" s="59" t="str">
        <f t="shared" si="9"/>
        <v>X</v>
      </c>
      <c r="AN23" s="60">
        <f>IF($H23=AM23,SUM(AN20:AN22)+1,SUM(AN20:AN22))</f>
        <v>0</v>
      </c>
      <c r="AO23" s="58">
        <f>SUM(AO20:AO22)</f>
        <v>0</v>
      </c>
      <c r="AP23" s="59">
        <f>SUM(AP20:AP22)</f>
        <v>0</v>
      </c>
      <c r="AQ23" s="59" t="str">
        <f t="shared" si="10"/>
        <v>X</v>
      </c>
      <c r="AR23" s="60">
        <f>IF($H23=AQ23,SUM(AR20:AR22)+1,SUM(AR20:AR22))</f>
        <v>0</v>
      </c>
      <c r="AS23" s="58">
        <f>SUM(AS20:AS22)</f>
        <v>0</v>
      </c>
      <c r="AT23" s="59">
        <f>SUM(AT20:AT22)</f>
        <v>0</v>
      </c>
      <c r="AU23" s="59" t="str">
        <f t="shared" si="11"/>
        <v>X</v>
      </c>
      <c r="AV23" s="60">
        <f>IF($H23=AU23,SUM(AV20:AV22)+1,SUM(AV20:AV22))</f>
        <v>0</v>
      </c>
      <c r="AW23" s="58">
        <f>SUM(AW20:AW22)</f>
        <v>0</v>
      </c>
      <c r="AX23" s="59">
        <f>SUM(AX20:AX22)</f>
        <v>0</v>
      </c>
      <c r="AY23" s="59" t="str">
        <f t="shared" si="12"/>
        <v>X</v>
      </c>
      <c r="AZ23" s="60">
        <f>IF($H23=AY23,SUM(AZ20:AZ22)+1,SUM(AZ20:AZ22))</f>
        <v>0</v>
      </c>
      <c r="BA23" s="58">
        <f>SUM(BA20:BA22)</f>
        <v>0</v>
      </c>
      <c r="BB23" s="59">
        <f>SUM(BB20:BB22)</f>
        <v>0</v>
      </c>
      <c r="BC23" s="59" t="str">
        <f t="shared" si="13"/>
        <v>X</v>
      </c>
      <c r="BD23" s="60">
        <f>IF($H23=BC23,SUM(BD20:BD22)+1,SUM(BD20:BD22))</f>
        <v>0</v>
      </c>
      <c r="BE23" s="58">
        <f>SUM(BE20:BE22)</f>
        <v>0</v>
      </c>
      <c r="BF23" s="59">
        <f>SUM(BF20:BF22)</f>
        <v>0</v>
      </c>
      <c r="BG23" s="59" t="str">
        <f t="shared" si="14"/>
        <v>X</v>
      </c>
      <c r="BH23" s="60">
        <f>IF($H23=BG23,SUM(BH20:BH22)+1,SUM(BH20:BH22))</f>
        <v>0</v>
      </c>
      <c r="BI23" s="58">
        <f>SUM(BI20:BI22)</f>
        <v>0</v>
      </c>
      <c r="BJ23" s="59">
        <f>SUM(BJ20:BJ22)</f>
        <v>0</v>
      </c>
      <c r="BK23" s="59" t="str">
        <f t="shared" si="15"/>
        <v>X</v>
      </c>
      <c r="BL23" s="60">
        <f>IF($H23=BK23,SUM(BL20:BL22)+1,SUM(BL20:BL22))</f>
        <v>0</v>
      </c>
      <c r="BM23" s="58">
        <f>SUM(BM20:BM22)</f>
        <v>0</v>
      </c>
      <c r="BN23" s="59">
        <f>SUM(BN20:BN22)</f>
        <v>0</v>
      </c>
      <c r="BO23" s="59" t="str">
        <f t="shared" si="16"/>
        <v>X</v>
      </c>
      <c r="BP23" s="60">
        <f>IF($H23=BO23,SUM(BP20:BP22)+1,SUM(BP20:BP22))</f>
        <v>0</v>
      </c>
      <c r="BQ23" s="58">
        <f>SUM(BQ20:BQ22)</f>
        <v>0</v>
      </c>
      <c r="BR23" s="59">
        <f>SUM(BR20:BR22)</f>
        <v>0</v>
      </c>
      <c r="BS23" s="59" t="str">
        <f t="shared" si="17"/>
        <v>X</v>
      </c>
      <c r="BT23" s="60">
        <f>IF($H23=BS23,SUM(BT20:BT22)+1,SUM(BT20:BT22))</f>
        <v>0</v>
      </c>
      <c r="BU23" s="58">
        <f>SUM(BU20:BU22)</f>
        <v>0</v>
      </c>
      <c r="BV23" s="59">
        <f>SUM(BV20:BV22)</f>
        <v>0</v>
      </c>
      <c r="BW23" s="59" t="str">
        <f t="shared" si="18"/>
        <v>X</v>
      </c>
      <c r="BX23" s="60">
        <f>IF($H23=BW23,SUM(BX20:BX22)+1,SUM(BX20:BX22))</f>
        <v>0</v>
      </c>
      <c r="BY23" s="58">
        <f>SUM(BY20:BY22)</f>
        <v>0</v>
      </c>
      <c r="BZ23" s="59">
        <f>SUM(BZ20:BZ22)</f>
        <v>0</v>
      </c>
      <c r="CA23" s="59" t="str">
        <f t="shared" si="19"/>
        <v>X</v>
      </c>
      <c r="CB23" s="60">
        <f>IF($H23=CA23,SUM(CB20:CB22)+1,SUM(CB20:CB22))</f>
        <v>0</v>
      </c>
      <c r="CC23" s="58">
        <f>SUM(CC20:CC22)</f>
        <v>0</v>
      </c>
      <c r="CD23" s="59">
        <f>SUM(CD20:CD22)</f>
        <v>0</v>
      </c>
      <c r="CE23" s="59" t="str">
        <f t="shared" si="20"/>
        <v>X</v>
      </c>
      <c r="CF23" s="60">
        <f>IF($H23=CE23,SUM(CF20:CF22)+1,SUM(CF20:CF22))</f>
        <v>0</v>
      </c>
      <c r="CG23" s="58">
        <f>SUM(CG20:CG22)</f>
        <v>0</v>
      </c>
      <c r="CH23" s="59">
        <f>SUM(CH20:CH22)</f>
        <v>0</v>
      </c>
      <c r="CI23" s="59" t="str">
        <f t="shared" si="21"/>
        <v>X</v>
      </c>
      <c r="CJ23" s="60">
        <f>IF($H23=CI23,SUM(CJ20:CJ22)+1,SUM(CJ20:CJ22))</f>
        <v>0</v>
      </c>
      <c r="CK23" s="58">
        <f>SUM(CK20:CK22)</f>
        <v>0</v>
      </c>
      <c r="CL23" s="59">
        <f>SUM(CL20:CL22)</f>
        <v>0</v>
      </c>
      <c r="CM23" s="59" t="str">
        <f t="shared" si="22"/>
        <v>X</v>
      </c>
      <c r="CN23" s="60">
        <f>IF($H23=CM23,SUM(CN20:CN22)+1,SUM(CN20:CN22))</f>
        <v>0</v>
      </c>
      <c r="CO23" s="58">
        <f>SUM(CO20:CO22)</f>
        <v>0</v>
      </c>
      <c r="CP23" s="59">
        <f>SUM(CP20:CP22)</f>
        <v>0</v>
      </c>
      <c r="CQ23" s="59" t="str">
        <f t="shared" si="23"/>
        <v>X</v>
      </c>
      <c r="CR23" s="60">
        <f>IF($H23=CQ23,SUM(CR20:CR22)+1,SUM(CR20:CR22))</f>
        <v>0</v>
      </c>
      <c r="CS23" s="58">
        <f>SUM(CS20:CS22)</f>
        <v>0</v>
      </c>
      <c r="CT23" s="59">
        <f>SUM(CT20:CT22)</f>
        <v>0</v>
      </c>
      <c r="CU23" s="59" t="str">
        <f t="shared" si="24"/>
        <v>X</v>
      </c>
      <c r="CV23" s="60">
        <f>IF($H23=CU23,SUM(CV20:CV22)+1,SUM(CV20:CV22))</f>
        <v>0</v>
      </c>
      <c r="CW23" s="58">
        <f>SUM(CW20:CW22)</f>
        <v>0</v>
      </c>
      <c r="CX23" s="59">
        <f>SUM(CX20:CX22)</f>
        <v>0</v>
      </c>
      <c r="CY23" s="59" t="str">
        <f t="shared" si="25"/>
        <v>X</v>
      </c>
      <c r="CZ23" s="60">
        <f>IF($H23=CY23,SUM(CZ20:CZ22)+1,SUM(CZ20:CZ22))</f>
        <v>0</v>
      </c>
      <c r="DA23" s="58">
        <f>SUM(DA20:DA22)</f>
        <v>0</v>
      </c>
      <c r="DB23" s="59">
        <f>SUM(DB20:DB22)</f>
        <v>0</v>
      </c>
      <c r="DC23" s="59" t="str">
        <f t="shared" si="26"/>
        <v>X</v>
      </c>
      <c r="DD23" s="60">
        <f>IF($H23=DC23,SUM(DD20:DD22)+1,SUM(DD20:DD22))</f>
        <v>0</v>
      </c>
      <c r="DE23" s="58">
        <f>SUM(DE20:DE22)</f>
        <v>0</v>
      </c>
      <c r="DF23" s="59">
        <f>SUM(DF20:DF22)</f>
        <v>0</v>
      </c>
      <c r="DG23" s="59" t="str">
        <f t="shared" si="27"/>
        <v>X</v>
      </c>
      <c r="DH23" s="60">
        <f>IF($H23=DG23,SUM(DH20:DH22)+1,SUM(DH20:DH22))</f>
        <v>0</v>
      </c>
      <c r="DI23" s="58">
        <f>SUM(DI20:DI22)</f>
        <v>0</v>
      </c>
      <c r="DJ23" s="59">
        <f>SUM(DJ20:DJ22)</f>
        <v>0</v>
      </c>
      <c r="DK23" s="59" t="str">
        <f t="shared" si="28"/>
        <v>X</v>
      </c>
      <c r="DL23" s="60">
        <f>IF($H23=DK23,SUM(DL20:DL22)+1,SUM(DL20:DL22))</f>
        <v>0</v>
      </c>
      <c r="DM23" s="58">
        <f>SUM(DM20:DM22)</f>
        <v>0</v>
      </c>
      <c r="DN23" s="59">
        <f>SUM(DN20:DN22)</f>
        <v>0</v>
      </c>
      <c r="DO23" s="59" t="str">
        <f t="shared" si="29"/>
        <v>X</v>
      </c>
      <c r="DP23" s="60">
        <f>IF($H23=DO23,SUM(DP20:DP22)+1,SUM(DP20:DP22))</f>
        <v>0</v>
      </c>
    </row>
    <row r="24" spans="1:120" ht="13" customHeight="1" thickBot="1">
      <c r="A24" s="113">
        <f>A20</f>
        <v>43438</v>
      </c>
      <c r="B24" s="30" t="s">
        <v>140</v>
      </c>
      <c r="C24" s="31"/>
      <c r="D24" s="32" t="s">
        <v>141</v>
      </c>
      <c r="E24" s="33">
        <f t="shared" si="0"/>
        <v>0</v>
      </c>
      <c r="F24" s="34"/>
      <c r="G24" s="35"/>
      <c r="H24" s="36" t="b">
        <f t="shared" si="1"/>
        <v>0</v>
      </c>
      <c r="I24" s="37"/>
      <c r="J24" s="38"/>
      <c r="K24" s="39" t="str">
        <f t="shared" si="2"/>
        <v>X</v>
      </c>
      <c r="L24" s="40" t="b">
        <f>IF(ISNUMBER(I24), IF(K24=$H24,IF(I24=$F24,IF(J24=$G24,IF($F24-$G24&gt;=3,6,IF($G24-$F24&gt;=3,6,IF($F24+$G24&gt;=4,6,5))),3),3),0))</f>
        <v>0</v>
      </c>
      <c r="M24" s="37"/>
      <c r="N24" s="38"/>
      <c r="O24" s="39" t="str">
        <f t="shared" si="3"/>
        <v>X</v>
      </c>
      <c r="P24" s="40" t="b">
        <f>IF(ISNUMBER(M24), IF(O24=$H24,IF(M24=$F24,IF(N24=$G24,IF($F24-$G24&gt;=3,6,IF($G24-$F24&gt;=3,6,IF($F24+$G24&gt;=4,6,5))),3),3),0))</f>
        <v>0</v>
      </c>
      <c r="Q24" s="37"/>
      <c r="R24" s="38"/>
      <c r="S24" s="39" t="str">
        <f t="shared" si="4"/>
        <v>X</v>
      </c>
      <c r="T24" s="40" t="b">
        <f>IF(ISNUMBER(Q24), IF(S24=$H24,IF(Q24=$F24,IF(R24=$G24,IF($F24-$G24&gt;=3,6,IF($G24-$F24&gt;=3,6,IF($F24+$G24&gt;=4,6,5))),3),3),0))</f>
        <v>0</v>
      </c>
      <c r="U24" s="37"/>
      <c r="V24" s="38"/>
      <c r="W24" s="39" t="str">
        <f t="shared" si="5"/>
        <v>X</v>
      </c>
      <c r="X24" s="40" t="b">
        <f>IF(ISNUMBER(U24), IF(W24=$H24,IF(U24=$F24,IF(V24=$G24,IF($F24-$G24&gt;=3,6,IF($G24-$F24&gt;=3,6,IF($F24+$G24&gt;=4,6,5))),3),3),0))</f>
        <v>0</v>
      </c>
      <c r="Y24" s="37"/>
      <c r="Z24" s="38"/>
      <c r="AA24" s="39" t="str">
        <f t="shared" si="6"/>
        <v>X</v>
      </c>
      <c r="AB24" s="40" t="b">
        <f>IF(ISNUMBER(Y24), IF(AA24=$H24,IF(Y24=$F24,IF(Z24=$G24,IF($F24-$G24&gt;=3,6,IF($G24-$F24&gt;=3,6,IF($F24+$G24&gt;=4,6,5))),3),3),0))</f>
        <v>0</v>
      </c>
      <c r="AC24" s="37"/>
      <c r="AD24" s="38"/>
      <c r="AE24" s="39" t="str">
        <f t="shared" si="7"/>
        <v>X</v>
      </c>
      <c r="AF24" s="40" t="b">
        <f>IF(ISNUMBER(AC24), IF(AE24=$H24,IF(AC24=$F24,IF(AD24=$G24,IF($F24-$G24&gt;=3,6,IF($G24-$F24&gt;=3,6,IF($F24+$G24&gt;=4,6,5))),3),3),0))</f>
        <v>0</v>
      </c>
      <c r="AG24" s="37"/>
      <c r="AH24" s="38"/>
      <c r="AI24" s="39" t="str">
        <f t="shared" si="8"/>
        <v>X</v>
      </c>
      <c r="AJ24" s="40" t="b">
        <f>IF(ISNUMBER(AG24), IF(AI24=$H24,IF(AG24=$F24,IF(AH24=$G24,IF($F24-$G24&gt;=3,6,IF($G24-$F24&gt;=3,6,IF($F24+$G24&gt;=4,6,5))),3),3),0))</f>
        <v>0</v>
      </c>
      <c r="AK24" s="37"/>
      <c r="AL24" s="38"/>
      <c r="AM24" s="39" t="str">
        <f t="shared" si="9"/>
        <v>X</v>
      </c>
      <c r="AN24" s="40" t="b">
        <f>IF(ISNUMBER(AK24), IF(AM24=$H24,IF(AK24=$F24,IF(AL24=$G24,IF($F24-$G24&gt;=3,6,IF($G24-$F24&gt;=3,6,IF($F24+$G24&gt;=4,6,5))),3),3),0))</f>
        <v>0</v>
      </c>
      <c r="AO24" s="37"/>
      <c r="AP24" s="38"/>
      <c r="AQ24" s="39" t="str">
        <f t="shared" si="10"/>
        <v>X</v>
      </c>
      <c r="AR24" s="40" t="b">
        <f>IF(ISNUMBER(AO24), IF(AQ24=$H24,IF(AO24=$F24,IF(AP24=$G24,IF($F24-$G24&gt;=3,6,IF($G24-$F24&gt;=3,6,IF($F24+$G24&gt;=4,6,5))),3),3),0))</f>
        <v>0</v>
      </c>
      <c r="AS24" s="37"/>
      <c r="AT24" s="38"/>
      <c r="AU24" s="39" t="str">
        <f t="shared" si="11"/>
        <v>X</v>
      </c>
      <c r="AV24" s="40" t="b">
        <f>IF(ISNUMBER(AS24), IF(AU24=$H24,IF(AS24=$F24,IF(AT24=$G24,IF($F24-$G24&gt;=3,6,IF($G24-$F24&gt;=3,6,IF($F24+$G24&gt;=4,6,5))),3),3),0))</f>
        <v>0</v>
      </c>
      <c r="AW24" s="37"/>
      <c r="AX24" s="38"/>
      <c r="AY24" s="39" t="str">
        <f t="shared" si="12"/>
        <v>X</v>
      </c>
      <c r="AZ24" s="40" t="b">
        <f>IF(ISNUMBER(AW24), IF(AY24=$H24,IF(AW24=$F24,IF(AX24=$G24,IF($F24-$G24&gt;=3,6,IF($G24-$F24&gt;=3,6,IF($F24+$G24&gt;=4,6,5))),3),3),0))</f>
        <v>0</v>
      </c>
      <c r="BA24" s="37"/>
      <c r="BB24" s="38"/>
      <c r="BC24" s="39" t="str">
        <f t="shared" si="13"/>
        <v>X</v>
      </c>
      <c r="BD24" s="40" t="b">
        <f>IF(ISNUMBER(BA24), IF(BC24=$H24,IF(BA24=$F24,IF(BB24=$G24,IF($F24-$G24&gt;=3,6,IF($G24-$F24&gt;=3,6,IF($F24+$G24&gt;=4,6,5))),3),3),0))</f>
        <v>0</v>
      </c>
      <c r="BE24" s="37"/>
      <c r="BF24" s="38"/>
      <c r="BG24" s="39" t="str">
        <f t="shared" si="14"/>
        <v>X</v>
      </c>
      <c r="BH24" s="40" t="b">
        <f>IF(ISNUMBER(BE24), IF(BG24=$H24,IF(BE24=$F24,IF(BF24=$G24,IF($F24-$G24&gt;=3,6,IF($G24-$F24&gt;=3,6,IF($F24+$G24&gt;=4,6,5))),3),3),0))</f>
        <v>0</v>
      </c>
      <c r="BI24" s="37"/>
      <c r="BJ24" s="38"/>
      <c r="BK24" s="39" t="str">
        <f t="shared" si="15"/>
        <v>X</v>
      </c>
      <c r="BL24" s="40" t="b">
        <f>IF(ISNUMBER(BI24), IF(BK24=$H24,IF(BI24=$F24,IF(BJ24=$G24,IF($F24-$G24&gt;=3,6,IF($G24-$F24&gt;=3,6,IF($F24+$G24&gt;=4,6,5))),3),3),0))</f>
        <v>0</v>
      </c>
      <c r="BM24" s="37"/>
      <c r="BN24" s="38"/>
      <c r="BO24" s="39" t="str">
        <f t="shared" si="16"/>
        <v>X</v>
      </c>
      <c r="BP24" s="40" t="b">
        <f>IF(ISNUMBER(BM24), IF(BO24=$H24,IF(BM24=$F24,IF(BN24=$G24,IF($F24-$G24&gt;=3,6,IF($G24-$F24&gt;=3,6,IF($F24+$G24&gt;=4,6,5))),3),3),0))</f>
        <v>0</v>
      </c>
      <c r="BQ24" s="37"/>
      <c r="BR24" s="38"/>
      <c r="BS24" s="39" t="str">
        <f t="shared" si="17"/>
        <v>X</v>
      </c>
      <c r="BT24" s="40" t="b">
        <f>IF(ISNUMBER(BQ24), IF(BS24=$H24,IF(BQ24=$F24,IF(BR24=$G24,IF($F24-$G24&gt;=3,6,IF($G24-$F24&gt;=3,6,IF($F24+$G24&gt;=4,6,5))),3),3),0))</f>
        <v>0</v>
      </c>
      <c r="BU24" s="37"/>
      <c r="BV24" s="38"/>
      <c r="BW24" s="39" t="str">
        <f t="shared" si="18"/>
        <v>X</v>
      </c>
      <c r="BX24" s="40" t="b">
        <f>IF(ISNUMBER(BU24), IF(BW24=$H24,IF(BU24=$F24,IF(BV24=$G24,IF($F24-$G24&gt;=3,6,IF($G24-$F24&gt;=3,6,IF($F24+$G24&gt;=4,6,5))),3),3),0))</f>
        <v>0</v>
      </c>
      <c r="BY24" s="37"/>
      <c r="BZ24" s="38"/>
      <c r="CA24" s="39" t="str">
        <f t="shared" si="19"/>
        <v>X</v>
      </c>
      <c r="CB24" s="40" t="b">
        <f>IF(ISNUMBER(BY24), IF(CA24=$H24,IF(BY24=$F24,IF(BZ24=$G24,IF($F24-$G24&gt;=3,6,IF($G24-$F24&gt;=3,6,IF($F24+$G24&gt;=4,6,5))),3),3),0))</f>
        <v>0</v>
      </c>
      <c r="CC24" s="37"/>
      <c r="CD24" s="38"/>
      <c r="CE24" s="39" t="str">
        <f t="shared" si="20"/>
        <v>X</v>
      </c>
      <c r="CF24" s="40" t="b">
        <f>IF(ISNUMBER(CC24), IF(CE24=$H24,IF(CC24=$F24,IF(CD24=$G24,IF($F24-$G24&gt;=3,6,IF($G24-$F24&gt;=3,6,IF($F24+$G24&gt;=4,6,5))),3),3),0))</f>
        <v>0</v>
      </c>
      <c r="CG24" s="37"/>
      <c r="CH24" s="38"/>
      <c r="CI24" s="39" t="str">
        <f t="shared" si="21"/>
        <v>X</v>
      </c>
      <c r="CJ24" s="40" t="b">
        <f>IF(ISNUMBER(CG24), IF(CI24=$H24,IF(CG24=$F24,IF(CH24=$G24,IF($F24-$G24&gt;=3,6,IF($G24-$F24&gt;=3,6,IF($F24+$G24&gt;=4,6,5))),3),3),0))</f>
        <v>0</v>
      </c>
      <c r="CK24" s="37"/>
      <c r="CL24" s="38"/>
      <c r="CM24" s="39" t="str">
        <f t="shared" si="22"/>
        <v>X</v>
      </c>
      <c r="CN24" s="40" t="b">
        <f>IF(ISNUMBER(CK24), IF(CM24=$H24,IF(CK24=$F24,IF(CL24=$G24,IF($F24-$G24&gt;=3,6,IF($G24-$F24&gt;=3,6,IF($F24+$G24&gt;=4,6,5))),3),3),0))</f>
        <v>0</v>
      </c>
      <c r="CO24" s="37"/>
      <c r="CP24" s="38"/>
      <c r="CQ24" s="39" t="str">
        <f t="shared" si="23"/>
        <v>X</v>
      </c>
      <c r="CR24" s="40" t="b">
        <f>IF(ISNUMBER(CO24), IF(CQ24=$H24,IF(CO24=$F24,IF(CP24=$G24,IF($F24-$G24&gt;=3,6,IF($G24-$F24&gt;=3,6,IF($F24+$G24&gt;=4,6,5))),3),3),0))</f>
        <v>0</v>
      </c>
      <c r="CS24" s="37"/>
      <c r="CT24" s="38"/>
      <c r="CU24" s="39" t="str">
        <f t="shared" si="24"/>
        <v>X</v>
      </c>
      <c r="CV24" s="40" t="b">
        <f>IF(ISNUMBER(CS24), IF(CU24=$H24,IF(CS24=$F24,IF(CT24=$G24,IF($F24-$G24&gt;=3,6,IF($G24-$F24&gt;=3,6,IF($F24+$G24&gt;=4,6,5))),3),3),0))</f>
        <v>0</v>
      </c>
      <c r="CW24" s="37"/>
      <c r="CX24" s="38"/>
      <c r="CY24" s="39" t="str">
        <f t="shared" si="25"/>
        <v>X</v>
      </c>
      <c r="CZ24" s="40" t="b">
        <f>IF(ISNUMBER(CW24), IF(CY24=$H24,IF(CW24=$F24,IF(CX24=$G24,IF($F24-$G24&gt;=3,6,IF($G24-$F24&gt;=3,6,IF($F24+$G24&gt;=4,6,5))),3),3),0))</f>
        <v>0</v>
      </c>
      <c r="DA24" s="37"/>
      <c r="DB24" s="38"/>
      <c r="DC24" s="39" t="str">
        <f t="shared" si="26"/>
        <v>X</v>
      </c>
      <c r="DD24" s="40" t="b">
        <f>IF(ISNUMBER(DA24), IF(DC24=$H24,IF(DA24=$F24,IF(DB24=$G24,IF($F24-$G24&gt;=3,6,IF($G24-$F24&gt;=3,6,IF($F24+$G24&gt;=4,6,5))),3),3),0))</f>
        <v>0</v>
      </c>
      <c r="DE24" s="37"/>
      <c r="DF24" s="38"/>
      <c r="DG24" s="39" t="str">
        <f t="shared" si="27"/>
        <v>X</v>
      </c>
      <c r="DH24" s="40" t="b">
        <f>IF(ISNUMBER(DE24), IF(DG24=$H24,IF(DE24=$F24,IF(DF24=$G24,IF($F24-$G24&gt;=3,6,IF($G24-$F24&gt;=3,6,IF($F24+$G24&gt;=4,6,5))),3),3),0))</f>
        <v>0</v>
      </c>
      <c r="DI24" s="37"/>
      <c r="DJ24" s="38"/>
      <c r="DK24" s="39" t="str">
        <f t="shared" si="28"/>
        <v>X</v>
      </c>
      <c r="DL24" s="40" t="b">
        <f>IF(ISNUMBER(DI24), IF(DK24=$H24,IF(DI24=$F24,IF(DJ24=$G24,IF($F24-$G24&gt;=3,6,IF($G24-$F24&gt;=3,6,IF($F24+$G24&gt;=4,6,5))),3),3),0))</f>
        <v>0</v>
      </c>
      <c r="DM24" s="37"/>
      <c r="DN24" s="38"/>
      <c r="DO24" s="39" t="str">
        <f t="shared" si="29"/>
        <v>X</v>
      </c>
      <c r="DP24" s="40" t="b">
        <f>IF(ISNUMBER(DM24), IF(DO24=$H24,IF(DM24=$F24,IF(DN24=$G24,IF($F24-$G24&gt;=3,6,IF($G24-$F24&gt;=3,6,IF($F24+$G24&gt;=4,6,5))),3),3),0))</f>
        <v>0</v>
      </c>
    </row>
    <row r="25" spans="1:120" ht="13" customHeight="1" thickBot="1">
      <c r="A25" s="41"/>
      <c r="B25" s="42"/>
      <c r="C25" s="43"/>
      <c r="D25" s="44" t="s">
        <v>142</v>
      </c>
      <c r="E25" s="33">
        <f t="shared" si="0"/>
        <v>0</v>
      </c>
      <c r="F25" s="45"/>
      <c r="G25" s="46"/>
      <c r="H25" s="47" t="b">
        <f t="shared" si="1"/>
        <v>0</v>
      </c>
      <c r="I25" s="48"/>
      <c r="J25" s="49"/>
      <c r="K25" s="50" t="str">
        <f t="shared" si="2"/>
        <v>X</v>
      </c>
      <c r="L25" s="51" t="b">
        <f>IF(ISNUMBER(I25), IF(K25=$H25,IF(I25=$F25,IF(J25=$G25,2,1),1),0))</f>
        <v>0</v>
      </c>
      <c r="M25" s="48"/>
      <c r="N25" s="49"/>
      <c r="O25" s="50" t="str">
        <f t="shared" si="3"/>
        <v>X</v>
      </c>
      <c r="P25" s="51" t="b">
        <f>IF(ISNUMBER(M25), IF(O25=$H25,IF(M25=$F25,IF(N25=$G25,2,1),1),0))</f>
        <v>0</v>
      </c>
      <c r="Q25" s="48"/>
      <c r="R25" s="49"/>
      <c r="S25" s="50" t="str">
        <f t="shared" si="4"/>
        <v>X</v>
      </c>
      <c r="T25" s="51" t="b">
        <f>IF(ISNUMBER(Q25), IF(S25=$H25,IF(Q25=$F25,IF(R25=$G25,2,1),1),0))</f>
        <v>0</v>
      </c>
      <c r="U25" s="48"/>
      <c r="V25" s="49"/>
      <c r="W25" s="50" t="str">
        <f t="shared" si="5"/>
        <v>X</v>
      </c>
      <c r="X25" s="51" t="b">
        <f>IF(ISNUMBER(U25), IF(W25=$H25,IF(U25=$F25,IF(V25=$G25,2,1),1),0))</f>
        <v>0</v>
      </c>
      <c r="Y25" s="48"/>
      <c r="Z25" s="49"/>
      <c r="AA25" s="50" t="str">
        <f t="shared" si="6"/>
        <v>X</v>
      </c>
      <c r="AB25" s="51" t="b">
        <f>IF(ISNUMBER(Y25), IF(AA25=$H25,IF(Y25=$F25,IF(Z25=$G25,2,1),1),0))</f>
        <v>0</v>
      </c>
      <c r="AC25" s="48"/>
      <c r="AD25" s="49"/>
      <c r="AE25" s="50" t="str">
        <f t="shared" si="7"/>
        <v>X</v>
      </c>
      <c r="AF25" s="51" t="b">
        <f>IF(ISNUMBER(AC25), IF(AE25=$H25,IF(AC25=$F25,IF(AD25=$G25,2,1),1),0))</f>
        <v>0</v>
      </c>
      <c r="AG25" s="48"/>
      <c r="AH25" s="49"/>
      <c r="AI25" s="50" t="str">
        <f t="shared" si="8"/>
        <v>X</v>
      </c>
      <c r="AJ25" s="51" t="b">
        <f>IF(ISNUMBER(AG25), IF(AI25=$H25,IF(AG25=$F25,IF(AH25=$G25,2,1),1),0))</f>
        <v>0</v>
      </c>
      <c r="AK25" s="48"/>
      <c r="AL25" s="49"/>
      <c r="AM25" s="50" t="str">
        <f t="shared" si="9"/>
        <v>X</v>
      </c>
      <c r="AN25" s="51" t="b">
        <f>IF(ISNUMBER(AK25), IF(AM25=$H25,IF(AK25=$F25,IF(AL25=$G25,2,1),1),0))</f>
        <v>0</v>
      </c>
      <c r="AO25" s="48"/>
      <c r="AP25" s="49"/>
      <c r="AQ25" s="50" t="str">
        <f t="shared" si="10"/>
        <v>X</v>
      </c>
      <c r="AR25" s="51" t="b">
        <f>IF(ISNUMBER(AO25), IF(AQ25=$H25,IF(AO25=$F25,IF(AP25=$G25,2,1),1),0))</f>
        <v>0</v>
      </c>
      <c r="AS25" s="48"/>
      <c r="AT25" s="49"/>
      <c r="AU25" s="50" t="str">
        <f t="shared" si="11"/>
        <v>X</v>
      </c>
      <c r="AV25" s="51" t="b">
        <f>IF(ISNUMBER(AS25), IF(AU25=$H25,IF(AS25=$F25,IF(AT25=$G25,2,1),1),0))</f>
        <v>0</v>
      </c>
      <c r="AW25" s="48"/>
      <c r="AX25" s="49"/>
      <c r="AY25" s="50" t="str">
        <f t="shared" si="12"/>
        <v>X</v>
      </c>
      <c r="AZ25" s="51" t="b">
        <f>IF(ISNUMBER(AW25), IF(AY25=$H25,IF(AW25=$F25,IF(AX25=$G25,2,1),1),0))</f>
        <v>0</v>
      </c>
      <c r="BA25" s="48"/>
      <c r="BB25" s="49"/>
      <c r="BC25" s="50" t="str">
        <f t="shared" si="13"/>
        <v>X</v>
      </c>
      <c r="BD25" s="51" t="b">
        <f>IF(ISNUMBER(BA25), IF(BC25=$H25,IF(BA25=$F25,IF(BB25=$G25,2,1),1),0))</f>
        <v>0</v>
      </c>
      <c r="BE25" s="48"/>
      <c r="BF25" s="49"/>
      <c r="BG25" s="50" t="str">
        <f t="shared" si="14"/>
        <v>X</v>
      </c>
      <c r="BH25" s="51" t="b">
        <f>IF(ISNUMBER(BE25), IF(BG25=$H25,IF(BE25=$F25,IF(BF25=$G25,2,1),1),0))</f>
        <v>0</v>
      </c>
      <c r="BI25" s="48"/>
      <c r="BJ25" s="49"/>
      <c r="BK25" s="50" t="str">
        <f t="shared" si="15"/>
        <v>X</v>
      </c>
      <c r="BL25" s="51" t="b">
        <f>IF(ISNUMBER(BI25), IF(BK25=$H25,IF(BI25=$F25,IF(BJ25=$G25,2,1),1),0))</f>
        <v>0</v>
      </c>
      <c r="BM25" s="48"/>
      <c r="BN25" s="49"/>
      <c r="BO25" s="50" t="str">
        <f t="shared" si="16"/>
        <v>X</v>
      </c>
      <c r="BP25" s="51" t="b">
        <f>IF(ISNUMBER(BM25), IF(BO25=$H25,IF(BM25=$F25,IF(BN25=$G25,2,1),1),0))</f>
        <v>0</v>
      </c>
      <c r="BQ25" s="48"/>
      <c r="BR25" s="49"/>
      <c r="BS25" s="50" t="str">
        <f t="shared" si="17"/>
        <v>X</v>
      </c>
      <c r="BT25" s="51" t="b">
        <f>IF(ISNUMBER(BQ25), IF(BS25=$H25,IF(BQ25=$F25,IF(BR25=$G25,2,1),1),0))</f>
        <v>0</v>
      </c>
      <c r="BU25" s="48"/>
      <c r="BV25" s="49"/>
      <c r="BW25" s="50" t="str">
        <f t="shared" si="18"/>
        <v>X</v>
      </c>
      <c r="BX25" s="51" t="b">
        <f>IF(ISNUMBER(BU25), IF(BW25=$H25,IF(BU25=$F25,IF(BV25=$G25,2,1),1),0))</f>
        <v>0</v>
      </c>
      <c r="BY25" s="48"/>
      <c r="BZ25" s="49"/>
      <c r="CA25" s="50" t="str">
        <f t="shared" si="19"/>
        <v>X</v>
      </c>
      <c r="CB25" s="51" t="b">
        <f>IF(ISNUMBER(BY25), IF(CA25=$H25,IF(BY25=$F25,IF(BZ25=$G25,2,1),1),0))</f>
        <v>0</v>
      </c>
      <c r="CC25" s="48"/>
      <c r="CD25" s="49"/>
      <c r="CE25" s="50" t="str">
        <f t="shared" si="20"/>
        <v>X</v>
      </c>
      <c r="CF25" s="51" t="b">
        <f>IF(ISNUMBER(CC25), IF(CE25=$H25,IF(CC25=$F25,IF(CD25=$G25,2,1),1),0))</f>
        <v>0</v>
      </c>
      <c r="CG25" s="48"/>
      <c r="CH25" s="49"/>
      <c r="CI25" s="50" t="str">
        <f t="shared" si="21"/>
        <v>X</v>
      </c>
      <c r="CJ25" s="51" t="b">
        <f>IF(ISNUMBER(CG25), IF(CI25=$H25,IF(CG25=$F25,IF(CH25=$G25,2,1),1),0))</f>
        <v>0</v>
      </c>
      <c r="CK25" s="48"/>
      <c r="CL25" s="49"/>
      <c r="CM25" s="50" t="str">
        <f t="shared" si="22"/>
        <v>X</v>
      </c>
      <c r="CN25" s="51" t="b">
        <f>IF(ISNUMBER(CK25), IF(CM25=$H25,IF(CK25=$F25,IF(CL25=$G25,2,1),1),0))</f>
        <v>0</v>
      </c>
      <c r="CO25" s="48"/>
      <c r="CP25" s="49"/>
      <c r="CQ25" s="50" t="str">
        <f t="shared" si="23"/>
        <v>X</v>
      </c>
      <c r="CR25" s="51" t="b">
        <f>IF(ISNUMBER(CO25), IF(CQ25=$H25,IF(CO25=$F25,IF(CP25=$G25,2,1),1),0))</f>
        <v>0</v>
      </c>
      <c r="CS25" s="48"/>
      <c r="CT25" s="49"/>
      <c r="CU25" s="50" t="str">
        <f t="shared" si="24"/>
        <v>X</v>
      </c>
      <c r="CV25" s="51" t="b">
        <f>IF(ISNUMBER(CS25), IF(CU25=$H25,IF(CS25=$F25,IF(CT25=$G25,2,1),1),0))</f>
        <v>0</v>
      </c>
      <c r="CW25" s="48"/>
      <c r="CX25" s="49"/>
      <c r="CY25" s="50" t="str">
        <f t="shared" si="25"/>
        <v>X</v>
      </c>
      <c r="CZ25" s="51" t="b">
        <f>IF(ISNUMBER(CW25), IF(CY25=$H25,IF(CW25=$F25,IF(CX25=$G25,2,1),1),0))</f>
        <v>0</v>
      </c>
      <c r="DA25" s="48"/>
      <c r="DB25" s="49"/>
      <c r="DC25" s="50" t="str">
        <f t="shared" si="26"/>
        <v>X</v>
      </c>
      <c r="DD25" s="51" t="b">
        <f>IF(ISNUMBER(DA25), IF(DC25=$H25,IF(DA25=$F25,IF(DB25=$G25,2,1),1),0))</f>
        <v>0</v>
      </c>
      <c r="DE25" s="48"/>
      <c r="DF25" s="49"/>
      <c r="DG25" s="50" t="str">
        <f t="shared" si="27"/>
        <v>X</v>
      </c>
      <c r="DH25" s="51" t="b">
        <f>IF(ISNUMBER(DE25), IF(DG25=$H25,IF(DE25=$F25,IF(DF25=$G25,2,1),1),0))</f>
        <v>0</v>
      </c>
      <c r="DI25" s="48"/>
      <c r="DJ25" s="49"/>
      <c r="DK25" s="50" t="str">
        <f t="shared" si="28"/>
        <v>X</v>
      </c>
      <c r="DL25" s="51" t="b">
        <f>IF(ISNUMBER(DI25), IF(DK25=$H25,IF(DI25=$F25,IF(DJ25=$G25,2,1),1),0))</f>
        <v>0</v>
      </c>
      <c r="DM25" s="48"/>
      <c r="DN25" s="49"/>
      <c r="DO25" s="50" t="str">
        <f t="shared" si="29"/>
        <v>X</v>
      </c>
      <c r="DP25" s="51" t="b">
        <f>IF(ISNUMBER(DM25), IF(DO25=$H25,IF(DM25=$F25,IF(DN25=$G25,2,1),1),0))</f>
        <v>0</v>
      </c>
    </row>
    <row r="26" spans="1:120" ht="13" customHeight="1" thickBot="1">
      <c r="A26" s="41"/>
      <c r="B26" s="42"/>
      <c r="C26" s="43"/>
      <c r="D26" s="44" t="s">
        <v>143</v>
      </c>
      <c r="E26" s="33">
        <f t="shared" si="0"/>
        <v>0</v>
      </c>
      <c r="F26" s="45"/>
      <c r="G26" s="46"/>
      <c r="H26" s="47" t="b">
        <f t="shared" si="1"/>
        <v>0</v>
      </c>
      <c r="I26" s="48"/>
      <c r="J26" s="49"/>
      <c r="K26" s="50" t="str">
        <f t="shared" si="2"/>
        <v>X</v>
      </c>
      <c r="L26" s="51" t="b">
        <f>IF(ISNUMBER(I26), IF(K26=$H26,IF(I26=$F26,IF(J26=$G26,2,1),1),0))</f>
        <v>0</v>
      </c>
      <c r="M26" s="48"/>
      <c r="N26" s="49"/>
      <c r="O26" s="50" t="str">
        <f t="shared" si="3"/>
        <v>X</v>
      </c>
      <c r="P26" s="51" t="b">
        <f>IF(ISNUMBER(M26), IF(O26=$H26,IF(M26=$F26,IF(N26=$G26,2,1),1),0))</f>
        <v>0</v>
      </c>
      <c r="Q26" s="48"/>
      <c r="R26" s="49"/>
      <c r="S26" s="50" t="str">
        <f t="shared" si="4"/>
        <v>X</v>
      </c>
      <c r="T26" s="51" t="b">
        <f>IF(ISNUMBER(Q26), IF(S26=$H26,IF(Q26=$F26,IF(R26=$G26,2,1),1),0))</f>
        <v>0</v>
      </c>
      <c r="U26" s="48"/>
      <c r="V26" s="49"/>
      <c r="W26" s="50" t="str">
        <f t="shared" si="5"/>
        <v>X</v>
      </c>
      <c r="X26" s="51" t="b">
        <f>IF(ISNUMBER(U26), IF(W26=$H26,IF(U26=$F26,IF(V26=$G26,2,1),1),0))</f>
        <v>0</v>
      </c>
      <c r="Y26" s="48"/>
      <c r="Z26" s="49"/>
      <c r="AA26" s="50" t="str">
        <f t="shared" si="6"/>
        <v>X</v>
      </c>
      <c r="AB26" s="51" t="b">
        <f>IF(ISNUMBER(Y26), IF(AA26=$H26,IF(Y26=$F26,IF(Z26=$G26,2,1),1),0))</f>
        <v>0</v>
      </c>
      <c r="AC26" s="48"/>
      <c r="AD26" s="49"/>
      <c r="AE26" s="50" t="str">
        <f t="shared" si="7"/>
        <v>X</v>
      </c>
      <c r="AF26" s="51" t="b">
        <f>IF(ISNUMBER(AC26), IF(AE26=$H26,IF(AC26=$F26,IF(AD26=$G26,2,1),1),0))</f>
        <v>0</v>
      </c>
      <c r="AG26" s="48"/>
      <c r="AH26" s="49"/>
      <c r="AI26" s="50" t="str">
        <f t="shared" si="8"/>
        <v>X</v>
      </c>
      <c r="AJ26" s="51" t="b">
        <f>IF(ISNUMBER(AG26), IF(AI26=$H26,IF(AG26=$F26,IF(AH26=$G26,2,1),1),0))</f>
        <v>0</v>
      </c>
      <c r="AK26" s="48"/>
      <c r="AL26" s="49"/>
      <c r="AM26" s="50" t="str">
        <f t="shared" si="9"/>
        <v>X</v>
      </c>
      <c r="AN26" s="51" t="b">
        <f>IF(ISNUMBER(AK26), IF(AM26=$H26,IF(AK26=$F26,IF(AL26=$G26,2,1),1),0))</f>
        <v>0</v>
      </c>
      <c r="AO26" s="48"/>
      <c r="AP26" s="49"/>
      <c r="AQ26" s="50" t="str">
        <f t="shared" si="10"/>
        <v>X</v>
      </c>
      <c r="AR26" s="51" t="b">
        <f>IF(ISNUMBER(AO26), IF(AQ26=$H26,IF(AO26=$F26,IF(AP26=$G26,2,1),1),0))</f>
        <v>0</v>
      </c>
      <c r="AS26" s="48"/>
      <c r="AT26" s="49"/>
      <c r="AU26" s="50" t="str">
        <f t="shared" si="11"/>
        <v>X</v>
      </c>
      <c r="AV26" s="51" t="b">
        <f>IF(ISNUMBER(AS26), IF(AU26=$H26,IF(AS26=$F26,IF(AT26=$G26,2,1),1),0))</f>
        <v>0</v>
      </c>
      <c r="AW26" s="48"/>
      <c r="AX26" s="49"/>
      <c r="AY26" s="50" t="str">
        <f t="shared" si="12"/>
        <v>X</v>
      </c>
      <c r="AZ26" s="51" t="b">
        <f>IF(ISNUMBER(AW26), IF(AY26=$H26,IF(AW26=$F26,IF(AX26=$G26,2,1),1),0))</f>
        <v>0</v>
      </c>
      <c r="BA26" s="48"/>
      <c r="BB26" s="49"/>
      <c r="BC26" s="50" t="str">
        <f t="shared" si="13"/>
        <v>X</v>
      </c>
      <c r="BD26" s="51" t="b">
        <f>IF(ISNUMBER(BA26), IF(BC26=$H26,IF(BA26=$F26,IF(BB26=$G26,2,1),1),0))</f>
        <v>0</v>
      </c>
      <c r="BE26" s="48"/>
      <c r="BF26" s="49"/>
      <c r="BG26" s="50" t="str">
        <f t="shared" si="14"/>
        <v>X</v>
      </c>
      <c r="BH26" s="51" t="b">
        <f>IF(ISNUMBER(BE26), IF(BG26=$H26,IF(BE26=$F26,IF(BF26=$G26,2,1),1),0))</f>
        <v>0</v>
      </c>
      <c r="BI26" s="48"/>
      <c r="BJ26" s="49"/>
      <c r="BK26" s="50" t="str">
        <f t="shared" si="15"/>
        <v>X</v>
      </c>
      <c r="BL26" s="51" t="b">
        <f>IF(ISNUMBER(BI26), IF(BK26=$H26,IF(BI26=$F26,IF(BJ26=$G26,2,1),1),0))</f>
        <v>0</v>
      </c>
      <c r="BM26" s="48"/>
      <c r="BN26" s="49"/>
      <c r="BO26" s="50" t="str">
        <f t="shared" si="16"/>
        <v>X</v>
      </c>
      <c r="BP26" s="51" t="b">
        <f>IF(ISNUMBER(BM26), IF(BO26=$H26,IF(BM26=$F26,IF(BN26=$G26,2,1),1),0))</f>
        <v>0</v>
      </c>
      <c r="BQ26" s="48"/>
      <c r="BR26" s="49"/>
      <c r="BS26" s="50" t="str">
        <f t="shared" si="17"/>
        <v>X</v>
      </c>
      <c r="BT26" s="51" t="b">
        <f>IF(ISNUMBER(BQ26), IF(BS26=$H26,IF(BQ26=$F26,IF(BR26=$G26,2,1),1),0))</f>
        <v>0</v>
      </c>
      <c r="BU26" s="48"/>
      <c r="BV26" s="49"/>
      <c r="BW26" s="50" t="str">
        <f t="shared" si="18"/>
        <v>X</v>
      </c>
      <c r="BX26" s="51" t="b">
        <f>IF(ISNUMBER(BU26), IF(BW26=$H26,IF(BU26=$F26,IF(BV26=$G26,2,1),1),0))</f>
        <v>0</v>
      </c>
      <c r="BY26" s="48"/>
      <c r="BZ26" s="49"/>
      <c r="CA26" s="50" t="str">
        <f t="shared" si="19"/>
        <v>X</v>
      </c>
      <c r="CB26" s="51" t="b">
        <f>IF(ISNUMBER(BY26), IF(CA26=$H26,IF(BY26=$F26,IF(BZ26=$G26,2,1),1),0))</f>
        <v>0</v>
      </c>
      <c r="CC26" s="48"/>
      <c r="CD26" s="49"/>
      <c r="CE26" s="50" t="str">
        <f t="shared" si="20"/>
        <v>X</v>
      </c>
      <c r="CF26" s="51" t="b">
        <f>IF(ISNUMBER(CC26), IF(CE26=$H26,IF(CC26=$F26,IF(CD26=$G26,2,1),1),0))</f>
        <v>0</v>
      </c>
      <c r="CG26" s="48"/>
      <c r="CH26" s="49"/>
      <c r="CI26" s="50" t="str">
        <f t="shared" si="21"/>
        <v>X</v>
      </c>
      <c r="CJ26" s="51" t="b">
        <f>IF(ISNUMBER(CG26), IF(CI26=$H26,IF(CG26=$F26,IF(CH26=$G26,2,1),1),0))</f>
        <v>0</v>
      </c>
      <c r="CK26" s="48"/>
      <c r="CL26" s="49"/>
      <c r="CM26" s="50" t="str">
        <f t="shared" si="22"/>
        <v>X</v>
      </c>
      <c r="CN26" s="51" t="b">
        <f>IF(ISNUMBER(CK26), IF(CM26=$H26,IF(CK26=$F26,IF(CL26=$G26,2,1),1),0))</f>
        <v>0</v>
      </c>
      <c r="CO26" s="48"/>
      <c r="CP26" s="49"/>
      <c r="CQ26" s="50" t="str">
        <f t="shared" si="23"/>
        <v>X</v>
      </c>
      <c r="CR26" s="51" t="b">
        <f>IF(ISNUMBER(CO26), IF(CQ26=$H26,IF(CO26=$F26,IF(CP26=$G26,2,1),1),0))</f>
        <v>0</v>
      </c>
      <c r="CS26" s="48"/>
      <c r="CT26" s="49"/>
      <c r="CU26" s="50" t="str">
        <f t="shared" si="24"/>
        <v>X</v>
      </c>
      <c r="CV26" s="51" t="b">
        <f>IF(ISNUMBER(CS26), IF(CU26=$H26,IF(CS26=$F26,IF(CT26=$G26,2,1),1),0))</f>
        <v>0</v>
      </c>
      <c r="CW26" s="48"/>
      <c r="CX26" s="49"/>
      <c r="CY26" s="50" t="str">
        <f t="shared" si="25"/>
        <v>X</v>
      </c>
      <c r="CZ26" s="51" t="b">
        <f>IF(ISNUMBER(CW26), IF(CY26=$H26,IF(CW26=$F26,IF(CX26=$G26,2,1),1),0))</f>
        <v>0</v>
      </c>
      <c r="DA26" s="48"/>
      <c r="DB26" s="49"/>
      <c r="DC26" s="50" t="str">
        <f t="shared" si="26"/>
        <v>X</v>
      </c>
      <c r="DD26" s="51" t="b">
        <f>IF(ISNUMBER(DA26), IF(DC26=$H26,IF(DA26=$F26,IF(DB26=$G26,2,1),1),0))</f>
        <v>0</v>
      </c>
      <c r="DE26" s="48"/>
      <c r="DF26" s="49"/>
      <c r="DG26" s="50" t="str">
        <f t="shared" si="27"/>
        <v>X</v>
      </c>
      <c r="DH26" s="51" t="b">
        <f>IF(ISNUMBER(DE26), IF(DG26=$H26,IF(DE26=$F26,IF(DF26=$G26,2,1),1),0))</f>
        <v>0</v>
      </c>
      <c r="DI26" s="48"/>
      <c r="DJ26" s="49"/>
      <c r="DK26" s="50" t="str">
        <f t="shared" si="28"/>
        <v>X</v>
      </c>
      <c r="DL26" s="51" t="b">
        <f>IF(ISNUMBER(DI26), IF(DK26=$H26,IF(DI26=$F26,IF(DJ26=$G26,2,1),1),0))</f>
        <v>0</v>
      </c>
      <c r="DM26" s="48"/>
      <c r="DN26" s="49"/>
      <c r="DO26" s="50" t="str">
        <f t="shared" si="29"/>
        <v>X</v>
      </c>
      <c r="DP26" s="51" t="b">
        <f>IF(ISNUMBER(DM26), IF(DO26=$H26,IF(DM26=$F26,IF(DN26=$G26,2,1),1),0))</f>
        <v>0</v>
      </c>
    </row>
    <row r="27" spans="1:120" s="25" customFormat="1" ht="13" customHeight="1" thickBot="1">
      <c r="A27" s="52"/>
      <c r="B27" s="53"/>
      <c r="C27" s="54"/>
      <c r="D27" s="55" t="s">
        <v>144</v>
      </c>
      <c r="E27" s="33">
        <f t="shared" si="0"/>
        <v>0</v>
      </c>
      <c r="F27" s="56"/>
      <c r="G27" s="56"/>
      <c r="H27" s="57" t="b">
        <f t="shared" si="1"/>
        <v>0</v>
      </c>
      <c r="I27" s="58">
        <f>SUM(I24:I26)</f>
        <v>0</v>
      </c>
      <c r="J27" s="59">
        <f>SUM(J24:J26)</f>
        <v>0</v>
      </c>
      <c r="K27" s="59" t="str">
        <f t="shared" si="2"/>
        <v>X</v>
      </c>
      <c r="L27" s="60">
        <f>IF($H27=K27,SUM(L24:L26)+1,SUM(L24:L26))</f>
        <v>0</v>
      </c>
      <c r="M27" s="58">
        <f>SUM(M24:M26)</f>
        <v>0</v>
      </c>
      <c r="N27" s="59">
        <f>SUM(N24:N26)</f>
        <v>0</v>
      </c>
      <c r="O27" s="59" t="str">
        <f t="shared" si="3"/>
        <v>X</v>
      </c>
      <c r="P27" s="60">
        <f>IF($H27=O27,SUM(P24:P26)+1,SUM(P24:P26))</f>
        <v>0</v>
      </c>
      <c r="Q27" s="58">
        <f>SUM(Q24:Q26)</f>
        <v>0</v>
      </c>
      <c r="R27" s="59">
        <f>SUM(R24:R26)</f>
        <v>0</v>
      </c>
      <c r="S27" s="59" t="str">
        <f t="shared" si="4"/>
        <v>X</v>
      </c>
      <c r="T27" s="60">
        <f>IF($H27=S27,SUM(T24:T26)+1,SUM(T24:T26))</f>
        <v>0</v>
      </c>
      <c r="U27" s="58">
        <f>SUM(U24:U26)</f>
        <v>0</v>
      </c>
      <c r="V27" s="59">
        <f>SUM(V24:V26)</f>
        <v>0</v>
      </c>
      <c r="W27" s="59" t="str">
        <f t="shared" si="5"/>
        <v>X</v>
      </c>
      <c r="X27" s="60">
        <f>IF($H27=W27,SUM(X24:X26)+1,SUM(X24:X26))</f>
        <v>0</v>
      </c>
      <c r="Y27" s="58">
        <f>SUM(Y24:Y26)</f>
        <v>0</v>
      </c>
      <c r="Z27" s="59">
        <f>SUM(Z24:Z26)</f>
        <v>0</v>
      </c>
      <c r="AA27" s="59" t="str">
        <f t="shared" si="6"/>
        <v>X</v>
      </c>
      <c r="AB27" s="60">
        <f>IF($H27=AA27,SUM(AB24:AB26)+1,SUM(AB24:AB26))</f>
        <v>0</v>
      </c>
      <c r="AC27" s="58">
        <f>SUM(AC24:AC26)</f>
        <v>0</v>
      </c>
      <c r="AD27" s="59">
        <f>SUM(AD24:AD26)</f>
        <v>0</v>
      </c>
      <c r="AE27" s="59" t="str">
        <f t="shared" si="7"/>
        <v>X</v>
      </c>
      <c r="AF27" s="60">
        <f>IF($H27=AE27,SUM(AF24:AF26)+1,SUM(AF24:AF26))</f>
        <v>0</v>
      </c>
      <c r="AG27" s="58">
        <f>SUM(AG24:AG26)</f>
        <v>0</v>
      </c>
      <c r="AH27" s="59">
        <f>SUM(AH24:AH26)</f>
        <v>0</v>
      </c>
      <c r="AI27" s="59" t="str">
        <f t="shared" si="8"/>
        <v>X</v>
      </c>
      <c r="AJ27" s="60">
        <f>IF($H27=AI27,SUM(AJ24:AJ26)+1,SUM(AJ24:AJ26))</f>
        <v>0</v>
      </c>
      <c r="AK27" s="58">
        <f>SUM(AK24:AK26)</f>
        <v>0</v>
      </c>
      <c r="AL27" s="59">
        <f>SUM(AL24:AL26)</f>
        <v>0</v>
      </c>
      <c r="AM27" s="59" t="str">
        <f t="shared" si="9"/>
        <v>X</v>
      </c>
      <c r="AN27" s="60">
        <f>IF($H27=AM27,SUM(AN24:AN26)+1,SUM(AN24:AN26))</f>
        <v>0</v>
      </c>
      <c r="AO27" s="58">
        <f>SUM(AO24:AO26)</f>
        <v>0</v>
      </c>
      <c r="AP27" s="59">
        <f>SUM(AP24:AP26)</f>
        <v>0</v>
      </c>
      <c r="AQ27" s="59" t="str">
        <f t="shared" si="10"/>
        <v>X</v>
      </c>
      <c r="AR27" s="60">
        <f>IF($H27=AQ27,SUM(AR24:AR26)+1,SUM(AR24:AR26))</f>
        <v>0</v>
      </c>
      <c r="AS27" s="58">
        <f>SUM(AS24:AS26)</f>
        <v>0</v>
      </c>
      <c r="AT27" s="59">
        <f>SUM(AT24:AT26)</f>
        <v>0</v>
      </c>
      <c r="AU27" s="59" t="str">
        <f t="shared" si="11"/>
        <v>X</v>
      </c>
      <c r="AV27" s="60">
        <f>IF($H27=AU27,SUM(AV24:AV26)+1,SUM(AV24:AV26))</f>
        <v>0</v>
      </c>
      <c r="AW27" s="58">
        <f>SUM(AW24:AW26)</f>
        <v>0</v>
      </c>
      <c r="AX27" s="59">
        <f>SUM(AX24:AX26)</f>
        <v>0</v>
      </c>
      <c r="AY27" s="59" t="str">
        <f t="shared" si="12"/>
        <v>X</v>
      </c>
      <c r="AZ27" s="60">
        <f>IF($H27=AY27,SUM(AZ24:AZ26)+1,SUM(AZ24:AZ26))</f>
        <v>0</v>
      </c>
      <c r="BA27" s="58">
        <f>SUM(BA24:BA26)</f>
        <v>0</v>
      </c>
      <c r="BB27" s="59">
        <f>SUM(BB24:BB26)</f>
        <v>0</v>
      </c>
      <c r="BC27" s="59" t="str">
        <f t="shared" si="13"/>
        <v>X</v>
      </c>
      <c r="BD27" s="60">
        <f>IF($H27=BC27,SUM(BD24:BD26)+1,SUM(BD24:BD26))</f>
        <v>0</v>
      </c>
      <c r="BE27" s="58">
        <f>SUM(BE24:BE26)</f>
        <v>0</v>
      </c>
      <c r="BF27" s="59">
        <f>SUM(BF24:BF26)</f>
        <v>0</v>
      </c>
      <c r="BG27" s="59" t="str">
        <f t="shared" si="14"/>
        <v>X</v>
      </c>
      <c r="BH27" s="60">
        <f>IF($H27=BG27,SUM(BH24:BH26)+1,SUM(BH24:BH26))</f>
        <v>0</v>
      </c>
      <c r="BI27" s="58">
        <f>SUM(BI24:BI26)</f>
        <v>0</v>
      </c>
      <c r="BJ27" s="59">
        <f>SUM(BJ24:BJ26)</f>
        <v>0</v>
      </c>
      <c r="BK27" s="59" t="str">
        <f t="shared" si="15"/>
        <v>X</v>
      </c>
      <c r="BL27" s="60">
        <f>IF($H27=BK27,SUM(BL24:BL26)+1,SUM(BL24:BL26))</f>
        <v>0</v>
      </c>
      <c r="BM27" s="58">
        <f>SUM(BM24:BM26)</f>
        <v>0</v>
      </c>
      <c r="BN27" s="59">
        <f>SUM(BN24:BN26)</f>
        <v>0</v>
      </c>
      <c r="BO27" s="59" t="str">
        <f t="shared" si="16"/>
        <v>X</v>
      </c>
      <c r="BP27" s="60">
        <f>IF($H27=BO27,SUM(BP24:BP26)+1,SUM(BP24:BP26))</f>
        <v>0</v>
      </c>
      <c r="BQ27" s="58">
        <f>SUM(BQ24:BQ26)</f>
        <v>0</v>
      </c>
      <c r="BR27" s="59">
        <f>SUM(BR24:BR26)</f>
        <v>0</v>
      </c>
      <c r="BS27" s="59" t="str">
        <f t="shared" si="17"/>
        <v>X</v>
      </c>
      <c r="BT27" s="60">
        <f>IF($H27=BS27,SUM(BT24:BT26)+1,SUM(BT24:BT26))</f>
        <v>0</v>
      </c>
      <c r="BU27" s="58">
        <f>SUM(BU24:BU26)</f>
        <v>0</v>
      </c>
      <c r="BV27" s="59">
        <f>SUM(BV24:BV26)</f>
        <v>0</v>
      </c>
      <c r="BW27" s="59" t="str">
        <f t="shared" si="18"/>
        <v>X</v>
      </c>
      <c r="BX27" s="60">
        <f>IF($H27=BW27,SUM(BX24:BX26)+1,SUM(BX24:BX26))</f>
        <v>0</v>
      </c>
      <c r="BY27" s="58">
        <f>SUM(BY24:BY26)</f>
        <v>0</v>
      </c>
      <c r="BZ27" s="59">
        <f>SUM(BZ24:BZ26)</f>
        <v>0</v>
      </c>
      <c r="CA27" s="59" t="str">
        <f t="shared" si="19"/>
        <v>X</v>
      </c>
      <c r="CB27" s="60">
        <f>IF($H27=CA27,SUM(CB24:CB26)+1,SUM(CB24:CB26))</f>
        <v>0</v>
      </c>
      <c r="CC27" s="58">
        <f>SUM(CC24:CC26)</f>
        <v>0</v>
      </c>
      <c r="CD27" s="59">
        <f>SUM(CD24:CD26)</f>
        <v>0</v>
      </c>
      <c r="CE27" s="59" t="str">
        <f t="shared" si="20"/>
        <v>X</v>
      </c>
      <c r="CF27" s="60">
        <f>IF($H27=CE27,SUM(CF24:CF26)+1,SUM(CF24:CF26))</f>
        <v>0</v>
      </c>
      <c r="CG27" s="58">
        <f>SUM(CG24:CG26)</f>
        <v>0</v>
      </c>
      <c r="CH27" s="59">
        <f>SUM(CH24:CH26)</f>
        <v>0</v>
      </c>
      <c r="CI27" s="59" t="str">
        <f t="shared" si="21"/>
        <v>X</v>
      </c>
      <c r="CJ27" s="60">
        <f>IF($H27=CI27,SUM(CJ24:CJ26)+1,SUM(CJ24:CJ26))</f>
        <v>0</v>
      </c>
      <c r="CK27" s="58">
        <f>SUM(CK24:CK26)</f>
        <v>0</v>
      </c>
      <c r="CL27" s="59">
        <f>SUM(CL24:CL26)</f>
        <v>0</v>
      </c>
      <c r="CM27" s="59" t="str">
        <f t="shared" si="22"/>
        <v>X</v>
      </c>
      <c r="CN27" s="60">
        <f>IF($H27=CM27,SUM(CN24:CN26)+1,SUM(CN24:CN26))</f>
        <v>0</v>
      </c>
      <c r="CO27" s="58">
        <f>SUM(CO24:CO26)</f>
        <v>0</v>
      </c>
      <c r="CP27" s="59">
        <f>SUM(CP24:CP26)</f>
        <v>0</v>
      </c>
      <c r="CQ27" s="59" t="str">
        <f t="shared" si="23"/>
        <v>X</v>
      </c>
      <c r="CR27" s="60">
        <f>IF($H27=CQ27,SUM(CR24:CR26)+1,SUM(CR24:CR26))</f>
        <v>0</v>
      </c>
      <c r="CS27" s="58">
        <f>SUM(CS24:CS26)</f>
        <v>0</v>
      </c>
      <c r="CT27" s="59">
        <f>SUM(CT24:CT26)</f>
        <v>0</v>
      </c>
      <c r="CU27" s="59" t="str">
        <f t="shared" si="24"/>
        <v>X</v>
      </c>
      <c r="CV27" s="60">
        <f>IF($H27=CU27,SUM(CV24:CV26)+1,SUM(CV24:CV26))</f>
        <v>0</v>
      </c>
      <c r="CW27" s="58">
        <f>SUM(CW24:CW26)</f>
        <v>0</v>
      </c>
      <c r="CX27" s="59">
        <f>SUM(CX24:CX26)</f>
        <v>0</v>
      </c>
      <c r="CY27" s="59" t="str">
        <f t="shared" si="25"/>
        <v>X</v>
      </c>
      <c r="CZ27" s="60">
        <f>IF($H27=CY27,SUM(CZ24:CZ26)+1,SUM(CZ24:CZ26))</f>
        <v>0</v>
      </c>
      <c r="DA27" s="58">
        <f>SUM(DA24:DA26)</f>
        <v>0</v>
      </c>
      <c r="DB27" s="59">
        <f>SUM(DB24:DB26)</f>
        <v>0</v>
      </c>
      <c r="DC27" s="59" t="str">
        <f t="shared" si="26"/>
        <v>X</v>
      </c>
      <c r="DD27" s="60">
        <f>IF($H27=DC27,SUM(DD24:DD26)+1,SUM(DD24:DD26))</f>
        <v>0</v>
      </c>
      <c r="DE27" s="58">
        <f>SUM(DE24:DE26)</f>
        <v>0</v>
      </c>
      <c r="DF27" s="59">
        <f>SUM(DF24:DF26)</f>
        <v>0</v>
      </c>
      <c r="DG27" s="59" t="str">
        <f t="shared" si="27"/>
        <v>X</v>
      </c>
      <c r="DH27" s="60">
        <f>IF($H27=DG27,SUM(DH24:DH26)+1,SUM(DH24:DH26))</f>
        <v>0</v>
      </c>
      <c r="DI27" s="58">
        <f>SUM(DI24:DI26)</f>
        <v>0</v>
      </c>
      <c r="DJ27" s="59">
        <f>SUM(DJ24:DJ26)</f>
        <v>0</v>
      </c>
      <c r="DK27" s="59" t="str">
        <f t="shared" si="28"/>
        <v>X</v>
      </c>
      <c r="DL27" s="60">
        <f>IF($H27=DK27,SUM(DL24:DL26)+1,SUM(DL24:DL26))</f>
        <v>0</v>
      </c>
      <c r="DM27" s="58">
        <f>SUM(DM24:DM26)</f>
        <v>0</v>
      </c>
      <c r="DN27" s="59">
        <f>SUM(DN24:DN26)</f>
        <v>0</v>
      </c>
      <c r="DO27" s="59" t="str">
        <f t="shared" si="29"/>
        <v>X</v>
      </c>
      <c r="DP27" s="60">
        <f>IF($H27=DO27,SUM(DP24:DP26)+1,SUM(DP24:DP26))</f>
        <v>0</v>
      </c>
    </row>
    <row r="28" spans="1:120" ht="13" customHeight="1" thickBot="1">
      <c r="A28" s="113">
        <f>A24+1</f>
        <v>43439</v>
      </c>
      <c r="B28" s="30" t="s">
        <v>140</v>
      </c>
      <c r="C28" s="31"/>
      <c r="D28" s="32" t="s">
        <v>141</v>
      </c>
      <c r="E28" s="33">
        <f t="shared" si="0"/>
        <v>0</v>
      </c>
      <c r="F28" s="34"/>
      <c r="G28" s="35"/>
      <c r="H28" s="36" t="b">
        <f t="shared" si="1"/>
        <v>0</v>
      </c>
      <c r="I28" s="37"/>
      <c r="J28" s="38"/>
      <c r="K28" s="39" t="str">
        <f t="shared" si="2"/>
        <v>X</v>
      </c>
      <c r="L28" s="40" t="b">
        <f>IF(ISNUMBER(I28), IF(K28=$H28,IF(I28=$F28,IF(J28=$G28,IF($F28-$G28&gt;=3,6,IF($G28-$F28&gt;=3,6,IF($F28+$G28&gt;=4,6,5))),3),3),0))</f>
        <v>0</v>
      </c>
      <c r="M28" s="37"/>
      <c r="N28" s="38"/>
      <c r="O28" s="39" t="str">
        <f t="shared" si="3"/>
        <v>X</v>
      </c>
      <c r="P28" s="40" t="b">
        <f>IF(ISNUMBER(M28), IF(O28=$H28,IF(M28=$F28,IF(N28=$G28,IF($F28-$G28&gt;=3,6,IF($G28-$F28&gt;=3,6,IF($F28+$G28&gt;=4,6,5))),3),3),0))</f>
        <v>0</v>
      </c>
      <c r="Q28" s="37"/>
      <c r="R28" s="38"/>
      <c r="S28" s="39" t="str">
        <f t="shared" si="4"/>
        <v>X</v>
      </c>
      <c r="T28" s="40" t="b">
        <f>IF(ISNUMBER(Q28), IF(S28=$H28,IF(Q28=$F28,IF(R28=$G28,IF($F28-$G28&gt;=3,6,IF($G28-$F28&gt;=3,6,IF($F28+$G28&gt;=4,6,5))),3),3),0))</f>
        <v>0</v>
      </c>
      <c r="U28" s="37"/>
      <c r="V28" s="38"/>
      <c r="W28" s="39" t="str">
        <f t="shared" si="5"/>
        <v>X</v>
      </c>
      <c r="X28" s="40" t="b">
        <f>IF(ISNUMBER(U28), IF(W28=$H28,IF(U28=$F28,IF(V28=$G28,IF($F28-$G28&gt;=3,6,IF($G28-$F28&gt;=3,6,IF($F28+$G28&gt;=4,6,5))),3),3),0))</f>
        <v>0</v>
      </c>
      <c r="Y28" s="37"/>
      <c r="Z28" s="38"/>
      <c r="AA28" s="39" t="str">
        <f t="shared" si="6"/>
        <v>X</v>
      </c>
      <c r="AB28" s="40" t="b">
        <f>IF(ISNUMBER(Y28), IF(AA28=$H28,IF(Y28=$F28,IF(Z28=$G28,IF($F28-$G28&gt;=3,6,IF($G28-$F28&gt;=3,6,IF($F28+$G28&gt;=4,6,5))),3),3),0))</f>
        <v>0</v>
      </c>
      <c r="AC28" s="37"/>
      <c r="AD28" s="38"/>
      <c r="AE28" s="39" t="str">
        <f t="shared" si="7"/>
        <v>X</v>
      </c>
      <c r="AF28" s="40" t="b">
        <f>IF(ISNUMBER(AC28), IF(AE28=$H28,IF(AC28=$F28,IF(AD28=$G28,IF($F28-$G28&gt;=3,6,IF($G28-$F28&gt;=3,6,IF($F28+$G28&gt;=4,6,5))),3),3),0))</f>
        <v>0</v>
      </c>
      <c r="AG28" s="37"/>
      <c r="AH28" s="38"/>
      <c r="AI28" s="39" t="str">
        <f t="shared" si="8"/>
        <v>X</v>
      </c>
      <c r="AJ28" s="40" t="b">
        <f>IF(ISNUMBER(AG28), IF(AI28=$H28,IF(AG28=$F28,IF(AH28=$G28,IF($F28-$G28&gt;=3,6,IF($G28-$F28&gt;=3,6,IF($F28+$G28&gt;=4,6,5))),3),3),0))</f>
        <v>0</v>
      </c>
      <c r="AK28" s="37"/>
      <c r="AL28" s="38"/>
      <c r="AM28" s="39" t="str">
        <f t="shared" si="9"/>
        <v>X</v>
      </c>
      <c r="AN28" s="40" t="b">
        <f>IF(ISNUMBER(AK28), IF(AM28=$H28,IF(AK28=$F28,IF(AL28=$G28,IF($F28-$G28&gt;=3,6,IF($G28-$F28&gt;=3,6,IF($F28+$G28&gt;=4,6,5))),3),3),0))</f>
        <v>0</v>
      </c>
      <c r="AO28" s="37"/>
      <c r="AP28" s="38"/>
      <c r="AQ28" s="39" t="str">
        <f t="shared" si="10"/>
        <v>X</v>
      </c>
      <c r="AR28" s="40" t="b">
        <f>IF(ISNUMBER(AO28), IF(AQ28=$H28,IF(AO28=$F28,IF(AP28=$G28,IF($F28-$G28&gt;=3,6,IF($G28-$F28&gt;=3,6,IF($F28+$G28&gt;=4,6,5))),3),3),0))</f>
        <v>0</v>
      </c>
      <c r="AS28" s="37"/>
      <c r="AT28" s="38"/>
      <c r="AU28" s="39" t="str">
        <f t="shared" si="11"/>
        <v>X</v>
      </c>
      <c r="AV28" s="40" t="b">
        <f>IF(ISNUMBER(AS28), IF(AU28=$H28,IF(AS28=$F28,IF(AT28=$G28,IF($F28-$G28&gt;=3,6,IF($G28-$F28&gt;=3,6,IF($F28+$G28&gt;=4,6,5))),3),3),0))</f>
        <v>0</v>
      </c>
      <c r="AW28" s="37"/>
      <c r="AX28" s="38"/>
      <c r="AY28" s="39" t="str">
        <f t="shared" si="12"/>
        <v>X</v>
      </c>
      <c r="AZ28" s="40" t="b">
        <f>IF(ISNUMBER(AW28), IF(AY28=$H28,IF(AW28=$F28,IF(AX28=$G28,IF($F28-$G28&gt;=3,6,IF($G28-$F28&gt;=3,6,IF($F28+$G28&gt;=4,6,5))),3),3),0))</f>
        <v>0</v>
      </c>
      <c r="BA28" s="37"/>
      <c r="BB28" s="38"/>
      <c r="BC28" s="39" t="str">
        <f t="shared" si="13"/>
        <v>X</v>
      </c>
      <c r="BD28" s="40" t="b">
        <f>IF(ISNUMBER(BA28), IF(BC28=$H28,IF(BA28=$F28,IF(BB28=$G28,IF($F28-$G28&gt;=3,6,IF($G28-$F28&gt;=3,6,IF($F28+$G28&gt;=4,6,5))),3),3),0))</f>
        <v>0</v>
      </c>
      <c r="BE28" s="37"/>
      <c r="BF28" s="38"/>
      <c r="BG28" s="39" t="str">
        <f t="shared" si="14"/>
        <v>X</v>
      </c>
      <c r="BH28" s="40" t="b">
        <f>IF(ISNUMBER(BE28), IF(BG28=$H28,IF(BE28=$F28,IF(BF28=$G28,IF($F28-$G28&gt;=3,6,IF($G28-$F28&gt;=3,6,IF($F28+$G28&gt;=4,6,5))),3),3),0))</f>
        <v>0</v>
      </c>
      <c r="BI28" s="37"/>
      <c r="BJ28" s="38"/>
      <c r="BK28" s="39" t="str">
        <f t="shared" si="15"/>
        <v>X</v>
      </c>
      <c r="BL28" s="40" t="b">
        <f>IF(ISNUMBER(BI28), IF(BK28=$H28,IF(BI28=$F28,IF(BJ28=$G28,IF($F28-$G28&gt;=3,6,IF($G28-$F28&gt;=3,6,IF($F28+$G28&gt;=4,6,5))),3),3),0))</f>
        <v>0</v>
      </c>
      <c r="BM28" s="37"/>
      <c r="BN28" s="38"/>
      <c r="BO28" s="39" t="str">
        <f t="shared" si="16"/>
        <v>X</v>
      </c>
      <c r="BP28" s="40" t="b">
        <f>IF(ISNUMBER(BM28), IF(BO28=$H28,IF(BM28=$F28,IF(BN28=$G28,IF($F28-$G28&gt;=3,6,IF($G28-$F28&gt;=3,6,IF($F28+$G28&gt;=4,6,5))),3),3),0))</f>
        <v>0</v>
      </c>
      <c r="BQ28" s="37"/>
      <c r="BR28" s="38"/>
      <c r="BS28" s="39" t="str">
        <f t="shared" si="17"/>
        <v>X</v>
      </c>
      <c r="BT28" s="40" t="b">
        <f>IF(ISNUMBER(BQ28), IF(BS28=$H28,IF(BQ28=$F28,IF(BR28=$G28,IF($F28-$G28&gt;=3,6,IF($G28-$F28&gt;=3,6,IF($F28+$G28&gt;=4,6,5))),3),3),0))</f>
        <v>0</v>
      </c>
      <c r="BU28" s="37"/>
      <c r="BV28" s="38"/>
      <c r="BW28" s="39" t="str">
        <f t="shared" si="18"/>
        <v>X</v>
      </c>
      <c r="BX28" s="40" t="b">
        <f>IF(ISNUMBER(BU28), IF(BW28=$H28,IF(BU28=$F28,IF(BV28=$G28,IF($F28-$G28&gt;=3,6,IF($G28-$F28&gt;=3,6,IF($F28+$G28&gt;=4,6,5))),3),3),0))</f>
        <v>0</v>
      </c>
      <c r="BY28" s="37"/>
      <c r="BZ28" s="38"/>
      <c r="CA28" s="39" t="str">
        <f t="shared" si="19"/>
        <v>X</v>
      </c>
      <c r="CB28" s="40" t="b">
        <f>IF(ISNUMBER(BY28), IF(CA28=$H28,IF(BY28=$F28,IF(BZ28=$G28,IF($F28-$G28&gt;=3,6,IF($G28-$F28&gt;=3,6,IF($F28+$G28&gt;=4,6,5))),3),3),0))</f>
        <v>0</v>
      </c>
      <c r="CC28" s="37"/>
      <c r="CD28" s="38"/>
      <c r="CE28" s="39" t="str">
        <f t="shared" si="20"/>
        <v>X</v>
      </c>
      <c r="CF28" s="40" t="b">
        <f>IF(ISNUMBER(CC28), IF(CE28=$H28,IF(CC28=$F28,IF(CD28=$G28,IF($F28-$G28&gt;=3,6,IF($G28-$F28&gt;=3,6,IF($F28+$G28&gt;=4,6,5))),3),3),0))</f>
        <v>0</v>
      </c>
      <c r="CG28" s="37"/>
      <c r="CH28" s="38"/>
      <c r="CI28" s="39" t="str">
        <f t="shared" si="21"/>
        <v>X</v>
      </c>
      <c r="CJ28" s="40" t="b">
        <f>IF(ISNUMBER(CG28), IF(CI28=$H28,IF(CG28=$F28,IF(CH28=$G28,IF($F28-$G28&gt;=3,6,IF($G28-$F28&gt;=3,6,IF($F28+$G28&gt;=4,6,5))),3),3),0))</f>
        <v>0</v>
      </c>
      <c r="CK28" s="37"/>
      <c r="CL28" s="38"/>
      <c r="CM28" s="39" t="str">
        <f t="shared" si="22"/>
        <v>X</v>
      </c>
      <c r="CN28" s="40" t="b">
        <f>IF(ISNUMBER(CK28), IF(CM28=$H28,IF(CK28=$F28,IF(CL28=$G28,IF($F28-$G28&gt;=3,6,IF($G28-$F28&gt;=3,6,IF($F28+$G28&gt;=4,6,5))),3),3),0))</f>
        <v>0</v>
      </c>
      <c r="CO28" s="37"/>
      <c r="CP28" s="38"/>
      <c r="CQ28" s="39" t="str">
        <f t="shared" si="23"/>
        <v>X</v>
      </c>
      <c r="CR28" s="40" t="b">
        <f>IF(ISNUMBER(CO28), IF(CQ28=$H28,IF(CO28=$F28,IF(CP28=$G28,IF($F28-$G28&gt;=3,6,IF($G28-$F28&gt;=3,6,IF($F28+$G28&gt;=4,6,5))),3),3),0))</f>
        <v>0</v>
      </c>
      <c r="CS28" s="37"/>
      <c r="CT28" s="38"/>
      <c r="CU28" s="39" t="str">
        <f t="shared" si="24"/>
        <v>X</v>
      </c>
      <c r="CV28" s="40" t="b">
        <f>IF(ISNUMBER(CS28), IF(CU28=$H28,IF(CS28=$F28,IF(CT28=$G28,IF($F28-$G28&gt;=3,6,IF($G28-$F28&gt;=3,6,IF($F28+$G28&gt;=4,6,5))),3),3),0))</f>
        <v>0</v>
      </c>
      <c r="CW28" s="37"/>
      <c r="CX28" s="38"/>
      <c r="CY28" s="39" t="str">
        <f t="shared" si="25"/>
        <v>X</v>
      </c>
      <c r="CZ28" s="40" t="b">
        <f>IF(ISNUMBER(CW28), IF(CY28=$H28,IF(CW28=$F28,IF(CX28=$G28,IF($F28-$G28&gt;=3,6,IF($G28-$F28&gt;=3,6,IF($F28+$G28&gt;=4,6,5))),3),3),0))</f>
        <v>0</v>
      </c>
      <c r="DA28" s="37"/>
      <c r="DB28" s="38"/>
      <c r="DC28" s="39" t="str">
        <f t="shared" si="26"/>
        <v>X</v>
      </c>
      <c r="DD28" s="40" t="b">
        <f>IF(ISNUMBER(DA28), IF(DC28=$H28,IF(DA28=$F28,IF(DB28=$G28,IF($F28-$G28&gt;=3,6,IF($G28-$F28&gt;=3,6,IF($F28+$G28&gt;=4,6,5))),3),3),0))</f>
        <v>0</v>
      </c>
      <c r="DE28" s="37"/>
      <c r="DF28" s="38"/>
      <c r="DG28" s="39" t="str">
        <f t="shared" si="27"/>
        <v>X</v>
      </c>
      <c r="DH28" s="40" t="b">
        <f>IF(ISNUMBER(DE28), IF(DG28=$H28,IF(DE28=$F28,IF(DF28=$G28,IF($F28-$G28&gt;=3,6,IF($G28-$F28&gt;=3,6,IF($F28+$G28&gt;=4,6,5))),3),3),0))</f>
        <v>0</v>
      </c>
      <c r="DI28" s="37"/>
      <c r="DJ28" s="38"/>
      <c r="DK28" s="39" t="str">
        <f t="shared" si="28"/>
        <v>X</v>
      </c>
      <c r="DL28" s="40" t="b">
        <f>IF(ISNUMBER(DI28), IF(DK28=$H28,IF(DI28=$F28,IF(DJ28=$G28,IF($F28-$G28&gt;=3,6,IF($G28-$F28&gt;=3,6,IF($F28+$G28&gt;=4,6,5))),3),3),0))</f>
        <v>0</v>
      </c>
      <c r="DM28" s="37"/>
      <c r="DN28" s="38"/>
      <c r="DO28" s="39" t="str">
        <f t="shared" si="29"/>
        <v>X</v>
      </c>
      <c r="DP28" s="40" t="b">
        <f>IF(ISNUMBER(DM28), IF(DO28=$H28,IF(DM28=$F28,IF(DN28=$G28,IF($F28-$G28&gt;=3,6,IF($G28-$F28&gt;=3,6,IF($F28+$G28&gt;=4,6,5))),3),3),0))</f>
        <v>0</v>
      </c>
    </row>
    <row r="29" spans="1:120" ht="13" customHeight="1" thickBot="1">
      <c r="A29" s="41"/>
      <c r="B29" s="42"/>
      <c r="C29" s="43"/>
      <c r="D29" s="44" t="s">
        <v>142</v>
      </c>
      <c r="E29" s="33">
        <f t="shared" si="0"/>
        <v>0</v>
      </c>
      <c r="F29" s="45"/>
      <c r="G29" s="46"/>
      <c r="H29" s="47" t="b">
        <f t="shared" si="1"/>
        <v>0</v>
      </c>
      <c r="I29" s="48"/>
      <c r="J29" s="49"/>
      <c r="K29" s="50" t="str">
        <f t="shared" si="2"/>
        <v>X</v>
      </c>
      <c r="L29" s="51" t="b">
        <f>IF(ISNUMBER(I29), IF(K29=$H29,IF(I29=$F29,IF(J29=$G29,2,1),1),0))</f>
        <v>0</v>
      </c>
      <c r="M29" s="48"/>
      <c r="N29" s="49"/>
      <c r="O29" s="50" t="str">
        <f t="shared" si="3"/>
        <v>X</v>
      </c>
      <c r="P29" s="51" t="b">
        <f>IF(ISNUMBER(M29), IF(O29=$H29,IF(M29=$F29,IF(N29=$G29,2,1),1),0))</f>
        <v>0</v>
      </c>
      <c r="Q29" s="48"/>
      <c r="R29" s="49"/>
      <c r="S29" s="50" t="str">
        <f t="shared" si="4"/>
        <v>X</v>
      </c>
      <c r="T29" s="51" t="b">
        <f>IF(ISNUMBER(Q29), IF(S29=$H29,IF(Q29=$F29,IF(R29=$G29,2,1),1),0))</f>
        <v>0</v>
      </c>
      <c r="U29" s="48"/>
      <c r="V29" s="49"/>
      <c r="W29" s="50" t="str">
        <f t="shared" si="5"/>
        <v>X</v>
      </c>
      <c r="X29" s="51" t="b">
        <f>IF(ISNUMBER(U29), IF(W29=$H29,IF(U29=$F29,IF(V29=$G29,2,1),1),0))</f>
        <v>0</v>
      </c>
      <c r="Y29" s="48"/>
      <c r="Z29" s="49"/>
      <c r="AA29" s="50" t="str">
        <f t="shared" si="6"/>
        <v>X</v>
      </c>
      <c r="AB29" s="51" t="b">
        <f>IF(ISNUMBER(Y29), IF(AA29=$H29,IF(Y29=$F29,IF(Z29=$G29,2,1),1),0))</f>
        <v>0</v>
      </c>
      <c r="AC29" s="48"/>
      <c r="AD29" s="49"/>
      <c r="AE29" s="50" t="str">
        <f t="shared" si="7"/>
        <v>X</v>
      </c>
      <c r="AF29" s="51" t="b">
        <f>IF(ISNUMBER(AC29), IF(AE29=$H29,IF(AC29=$F29,IF(AD29=$G29,2,1),1),0))</f>
        <v>0</v>
      </c>
      <c r="AG29" s="48"/>
      <c r="AH29" s="49"/>
      <c r="AI29" s="50" t="str">
        <f t="shared" si="8"/>
        <v>X</v>
      </c>
      <c r="AJ29" s="51" t="b">
        <f>IF(ISNUMBER(AG29), IF(AI29=$H29,IF(AG29=$F29,IF(AH29=$G29,2,1),1),0))</f>
        <v>0</v>
      </c>
      <c r="AK29" s="48"/>
      <c r="AL29" s="49"/>
      <c r="AM29" s="50" t="str">
        <f t="shared" si="9"/>
        <v>X</v>
      </c>
      <c r="AN29" s="51" t="b">
        <f>IF(ISNUMBER(AK29), IF(AM29=$H29,IF(AK29=$F29,IF(AL29=$G29,2,1),1),0))</f>
        <v>0</v>
      </c>
      <c r="AO29" s="48"/>
      <c r="AP29" s="49"/>
      <c r="AQ29" s="50" t="str">
        <f t="shared" si="10"/>
        <v>X</v>
      </c>
      <c r="AR29" s="51" t="b">
        <f>IF(ISNUMBER(AO29), IF(AQ29=$H29,IF(AO29=$F29,IF(AP29=$G29,2,1),1),0))</f>
        <v>0</v>
      </c>
      <c r="AS29" s="48"/>
      <c r="AT29" s="49"/>
      <c r="AU29" s="50" t="str">
        <f t="shared" si="11"/>
        <v>X</v>
      </c>
      <c r="AV29" s="51" t="b">
        <f>IF(ISNUMBER(AS29), IF(AU29=$H29,IF(AS29=$F29,IF(AT29=$G29,2,1),1),0))</f>
        <v>0</v>
      </c>
      <c r="AW29" s="48"/>
      <c r="AX29" s="49"/>
      <c r="AY29" s="50" t="str">
        <f t="shared" si="12"/>
        <v>X</v>
      </c>
      <c r="AZ29" s="51" t="b">
        <f>IF(ISNUMBER(AW29), IF(AY29=$H29,IF(AW29=$F29,IF(AX29=$G29,2,1),1),0))</f>
        <v>0</v>
      </c>
      <c r="BA29" s="48"/>
      <c r="BB29" s="49"/>
      <c r="BC29" s="50" t="str">
        <f t="shared" si="13"/>
        <v>X</v>
      </c>
      <c r="BD29" s="51" t="b">
        <f>IF(ISNUMBER(BA29), IF(BC29=$H29,IF(BA29=$F29,IF(BB29=$G29,2,1),1),0))</f>
        <v>0</v>
      </c>
      <c r="BE29" s="48"/>
      <c r="BF29" s="49"/>
      <c r="BG29" s="50" t="str">
        <f t="shared" si="14"/>
        <v>X</v>
      </c>
      <c r="BH29" s="51" t="b">
        <f>IF(ISNUMBER(BE29), IF(BG29=$H29,IF(BE29=$F29,IF(BF29=$G29,2,1),1),0))</f>
        <v>0</v>
      </c>
      <c r="BI29" s="48"/>
      <c r="BJ29" s="49"/>
      <c r="BK29" s="50" t="str">
        <f t="shared" si="15"/>
        <v>X</v>
      </c>
      <c r="BL29" s="51" t="b">
        <f>IF(ISNUMBER(BI29), IF(BK29=$H29,IF(BI29=$F29,IF(BJ29=$G29,2,1),1),0))</f>
        <v>0</v>
      </c>
      <c r="BM29" s="48"/>
      <c r="BN29" s="49"/>
      <c r="BO29" s="50" t="str">
        <f t="shared" si="16"/>
        <v>X</v>
      </c>
      <c r="BP29" s="51" t="b">
        <f>IF(ISNUMBER(BM29), IF(BO29=$H29,IF(BM29=$F29,IF(BN29=$G29,2,1),1),0))</f>
        <v>0</v>
      </c>
      <c r="BQ29" s="48"/>
      <c r="BR29" s="49"/>
      <c r="BS29" s="50" t="str">
        <f t="shared" si="17"/>
        <v>X</v>
      </c>
      <c r="BT29" s="51" t="b">
        <f>IF(ISNUMBER(BQ29), IF(BS29=$H29,IF(BQ29=$F29,IF(BR29=$G29,2,1),1),0))</f>
        <v>0</v>
      </c>
      <c r="BU29" s="48"/>
      <c r="BV29" s="49"/>
      <c r="BW29" s="50" t="str">
        <f t="shared" si="18"/>
        <v>X</v>
      </c>
      <c r="BX29" s="51" t="b">
        <f>IF(ISNUMBER(BU29), IF(BW29=$H29,IF(BU29=$F29,IF(BV29=$G29,2,1),1),0))</f>
        <v>0</v>
      </c>
      <c r="BY29" s="48"/>
      <c r="BZ29" s="49"/>
      <c r="CA29" s="50" t="str">
        <f t="shared" si="19"/>
        <v>X</v>
      </c>
      <c r="CB29" s="51" t="b">
        <f>IF(ISNUMBER(BY29), IF(CA29=$H29,IF(BY29=$F29,IF(BZ29=$G29,2,1),1),0))</f>
        <v>0</v>
      </c>
      <c r="CC29" s="48"/>
      <c r="CD29" s="49"/>
      <c r="CE29" s="50" t="str">
        <f t="shared" si="20"/>
        <v>X</v>
      </c>
      <c r="CF29" s="51" t="b">
        <f>IF(ISNUMBER(CC29), IF(CE29=$H29,IF(CC29=$F29,IF(CD29=$G29,2,1),1),0))</f>
        <v>0</v>
      </c>
      <c r="CG29" s="48"/>
      <c r="CH29" s="49"/>
      <c r="CI29" s="50" t="str">
        <f t="shared" si="21"/>
        <v>X</v>
      </c>
      <c r="CJ29" s="51" t="b">
        <f>IF(ISNUMBER(CG29), IF(CI29=$H29,IF(CG29=$F29,IF(CH29=$G29,2,1),1),0))</f>
        <v>0</v>
      </c>
      <c r="CK29" s="48"/>
      <c r="CL29" s="49"/>
      <c r="CM29" s="50" t="str">
        <f t="shared" si="22"/>
        <v>X</v>
      </c>
      <c r="CN29" s="51" t="b">
        <f>IF(ISNUMBER(CK29), IF(CM29=$H29,IF(CK29=$F29,IF(CL29=$G29,2,1),1),0))</f>
        <v>0</v>
      </c>
      <c r="CO29" s="48"/>
      <c r="CP29" s="49"/>
      <c r="CQ29" s="50" t="str">
        <f t="shared" si="23"/>
        <v>X</v>
      </c>
      <c r="CR29" s="51" t="b">
        <f>IF(ISNUMBER(CO29), IF(CQ29=$H29,IF(CO29=$F29,IF(CP29=$G29,2,1),1),0))</f>
        <v>0</v>
      </c>
      <c r="CS29" s="48"/>
      <c r="CT29" s="49"/>
      <c r="CU29" s="50" t="str">
        <f t="shared" si="24"/>
        <v>X</v>
      </c>
      <c r="CV29" s="51" t="b">
        <f>IF(ISNUMBER(CS29), IF(CU29=$H29,IF(CS29=$F29,IF(CT29=$G29,2,1),1),0))</f>
        <v>0</v>
      </c>
      <c r="CW29" s="48"/>
      <c r="CX29" s="49"/>
      <c r="CY29" s="50" t="str">
        <f t="shared" si="25"/>
        <v>X</v>
      </c>
      <c r="CZ29" s="51" t="b">
        <f>IF(ISNUMBER(CW29), IF(CY29=$H29,IF(CW29=$F29,IF(CX29=$G29,2,1),1),0))</f>
        <v>0</v>
      </c>
      <c r="DA29" s="48"/>
      <c r="DB29" s="49"/>
      <c r="DC29" s="50" t="str">
        <f t="shared" si="26"/>
        <v>X</v>
      </c>
      <c r="DD29" s="51" t="b">
        <f>IF(ISNUMBER(DA29), IF(DC29=$H29,IF(DA29=$F29,IF(DB29=$G29,2,1),1),0))</f>
        <v>0</v>
      </c>
      <c r="DE29" s="48"/>
      <c r="DF29" s="49"/>
      <c r="DG29" s="50" t="str">
        <f t="shared" si="27"/>
        <v>X</v>
      </c>
      <c r="DH29" s="51" t="b">
        <f>IF(ISNUMBER(DE29), IF(DG29=$H29,IF(DE29=$F29,IF(DF29=$G29,2,1),1),0))</f>
        <v>0</v>
      </c>
      <c r="DI29" s="48"/>
      <c r="DJ29" s="49"/>
      <c r="DK29" s="50" t="str">
        <f t="shared" si="28"/>
        <v>X</v>
      </c>
      <c r="DL29" s="51" t="b">
        <f>IF(ISNUMBER(DI29), IF(DK29=$H29,IF(DI29=$F29,IF(DJ29=$G29,2,1),1),0))</f>
        <v>0</v>
      </c>
      <c r="DM29" s="48"/>
      <c r="DN29" s="49"/>
      <c r="DO29" s="50" t="str">
        <f t="shared" si="29"/>
        <v>X</v>
      </c>
      <c r="DP29" s="51" t="b">
        <f>IF(ISNUMBER(DM29), IF(DO29=$H29,IF(DM29=$F29,IF(DN29=$G29,2,1),1),0))</f>
        <v>0</v>
      </c>
    </row>
    <row r="30" spans="1:120" ht="13" customHeight="1" thickBot="1">
      <c r="A30" s="41"/>
      <c r="B30" s="42"/>
      <c r="C30" s="43"/>
      <c r="D30" s="44" t="s">
        <v>143</v>
      </c>
      <c r="E30" s="33">
        <f t="shared" si="0"/>
        <v>0</v>
      </c>
      <c r="F30" s="45"/>
      <c r="G30" s="46"/>
      <c r="H30" s="47" t="b">
        <f t="shared" si="1"/>
        <v>0</v>
      </c>
      <c r="I30" s="48"/>
      <c r="J30" s="49"/>
      <c r="K30" s="50" t="str">
        <f t="shared" si="2"/>
        <v>X</v>
      </c>
      <c r="L30" s="51" t="b">
        <f>IF(ISNUMBER(I30), IF(K30=$H30,IF(I30=$F30,IF(J30=$G30,2,1),1),0))</f>
        <v>0</v>
      </c>
      <c r="M30" s="48"/>
      <c r="N30" s="49"/>
      <c r="O30" s="50" t="str">
        <f t="shared" si="3"/>
        <v>X</v>
      </c>
      <c r="P30" s="51" t="b">
        <f>IF(ISNUMBER(M30), IF(O30=$H30,IF(M30=$F30,IF(N30=$G30,2,1),1),0))</f>
        <v>0</v>
      </c>
      <c r="Q30" s="48"/>
      <c r="R30" s="49"/>
      <c r="S30" s="50" t="str">
        <f t="shared" si="4"/>
        <v>X</v>
      </c>
      <c r="T30" s="51" t="b">
        <f>IF(ISNUMBER(Q30), IF(S30=$H30,IF(Q30=$F30,IF(R30=$G30,2,1),1),0))</f>
        <v>0</v>
      </c>
      <c r="U30" s="48"/>
      <c r="V30" s="49"/>
      <c r="W30" s="50" t="str">
        <f t="shared" si="5"/>
        <v>X</v>
      </c>
      <c r="X30" s="51" t="b">
        <f>IF(ISNUMBER(U30), IF(W30=$H30,IF(U30=$F30,IF(V30=$G30,2,1),1),0))</f>
        <v>0</v>
      </c>
      <c r="Y30" s="48"/>
      <c r="Z30" s="49"/>
      <c r="AA30" s="50" t="str">
        <f t="shared" si="6"/>
        <v>X</v>
      </c>
      <c r="AB30" s="51" t="b">
        <f>IF(ISNUMBER(Y30), IF(AA30=$H30,IF(Y30=$F30,IF(Z30=$G30,2,1),1),0))</f>
        <v>0</v>
      </c>
      <c r="AC30" s="48"/>
      <c r="AD30" s="49"/>
      <c r="AE30" s="50" t="str">
        <f t="shared" si="7"/>
        <v>X</v>
      </c>
      <c r="AF30" s="51" t="b">
        <f>IF(ISNUMBER(AC30), IF(AE30=$H30,IF(AC30=$F30,IF(AD30=$G30,2,1),1),0))</f>
        <v>0</v>
      </c>
      <c r="AG30" s="48"/>
      <c r="AH30" s="49"/>
      <c r="AI30" s="50" t="str">
        <f t="shared" si="8"/>
        <v>X</v>
      </c>
      <c r="AJ30" s="51" t="b">
        <f>IF(ISNUMBER(AG30), IF(AI30=$H30,IF(AG30=$F30,IF(AH30=$G30,2,1),1),0))</f>
        <v>0</v>
      </c>
      <c r="AK30" s="48"/>
      <c r="AL30" s="49"/>
      <c r="AM30" s="50" t="str">
        <f t="shared" si="9"/>
        <v>X</v>
      </c>
      <c r="AN30" s="51" t="b">
        <f>IF(ISNUMBER(AK30), IF(AM30=$H30,IF(AK30=$F30,IF(AL30=$G30,2,1),1),0))</f>
        <v>0</v>
      </c>
      <c r="AO30" s="48"/>
      <c r="AP30" s="49"/>
      <c r="AQ30" s="50" t="str">
        <f t="shared" si="10"/>
        <v>X</v>
      </c>
      <c r="AR30" s="51" t="b">
        <f>IF(ISNUMBER(AO30), IF(AQ30=$H30,IF(AO30=$F30,IF(AP30=$G30,2,1),1),0))</f>
        <v>0</v>
      </c>
      <c r="AS30" s="48"/>
      <c r="AT30" s="49"/>
      <c r="AU30" s="50" t="str">
        <f t="shared" si="11"/>
        <v>X</v>
      </c>
      <c r="AV30" s="51" t="b">
        <f>IF(ISNUMBER(AS30), IF(AU30=$H30,IF(AS30=$F30,IF(AT30=$G30,2,1),1),0))</f>
        <v>0</v>
      </c>
      <c r="AW30" s="48"/>
      <c r="AX30" s="49"/>
      <c r="AY30" s="50" t="str">
        <f t="shared" si="12"/>
        <v>X</v>
      </c>
      <c r="AZ30" s="51" t="b">
        <f>IF(ISNUMBER(AW30), IF(AY30=$H30,IF(AW30=$F30,IF(AX30=$G30,2,1),1),0))</f>
        <v>0</v>
      </c>
      <c r="BA30" s="48"/>
      <c r="BB30" s="49"/>
      <c r="BC30" s="50" t="str">
        <f t="shared" si="13"/>
        <v>X</v>
      </c>
      <c r="BD30" s="51" t="b">
        <f>IF(ISNUMBER(BA30), IF(BC30=$H30,IF(BA30=$F30,IF(BB30=$G30,2,1),1),0))</f>
        <v>0</v>
      </c>
      <c r="BE30" s="48"/>
      <c r="BF30" s="49"/>
      <c r="BG30" s="50" t="str">
        <f t="shared" si="14"/>
        <v>X</v>
      </c>
      <c r="BH30" s="51" t="b">
        <f>IF(ISNUMBER(BE30), IF(BG30=$H30,IF(BE30=$F30,IF(BF30=$G30,2,1),1),0))</f>
        <v>0</v>
      </c>
      <c r="BI30" s="48"/>
      <c r="BJ30" s="49"/>
      <c r="BK30" s="50" t="str">
        <f t="shared" si="15"/>
        <v>X</v>
      </c>
      <c r="BL30" s="51" t="b">
        <f>IF(ISNUMBER(BI30), IF(BK30=$H30,IF(BI30=$F30,IF(BJ30=$G30,2,1),1),0))</f>
        <v>0</v>
      </c>
      <c r="BM30" s="48"/>
      <c r="BN30" s="49"/>
      <c r="BO30" s="50" t="str">
        <f t="shared" si="16"/>
        <v>X</v>
      </c>
      <c r="BP30" s="51" t="b">
        <f>IF(ISNUMBER(BM30), IF(BO30=$H30,IF(BM30=$F30,IF(BN30=$G30,2,1),1),0))</f>
        <v>0</v>
      </c>
      <c r="BQ30" s="48"/>
      <c r="BR30" s="49"/>
      <c r="BS30" s="50" t="str">
        <f t="shared" si="17"/>
        <v>X</v>
      </c>
      <c r="BT30" s="51" t="b">
        <f>IF(ISNUMBER(BQ30), IF(BS30=$H30,IF(BQ30=$F30,IF(BR30=$G30,2,1),1),0))</f>
        <v>0</v>
      </c>
      <c r="BU30" s="48"/>
      <c r="BV30" s="49"/>
      <c r="BW30" s="50" t="str">
        <f t="shared" si="18"/>
        <v>X</v>
      </c>
      <c r="BX30" s="51" t="b">
        <f>IF(ISNUMBER(BU30), IF(BW30=$H30,IF(BU30=$F30,IF(BV30=$G30,2,1),1),0))</f>
        <v>0</v>
      </c>
      <c r="BY30" s="48"/>
      <c r="BZ30" s="49"/>
      <c r="CA30" s="50" t="str">
        <f t="shared" si="19"/>
        <v>X</v>
      </c>
      <c r="CB30" s="51" t="b">
        <f>IF(ISNUMBER(BY30), IF(CA30=$H30,IF(BY30=$F30,IF(BZ30=$G30,2,1),1),0))</f>
        <v>0</v>
      </c>
      <c r="CC30" s="48"/>
      <c r="CD30" s="49"/>
      <c r="CE30" s="50" t="str">
        <f t="shared" si="20"/>
        <v>X</v>
      </c>
      <c r="CF30" s="51" t="b">
        <f>IF(ISNUMBER(CC30), IF(CE30=$H30,IF(CC30=$F30,IF(CD30=$G30,2,1),1),0))</f>
        <v>0</v>
      </c>
      <c r="CG30" s="48"/>
      <c r="CH30" s="49"/>
      <c r="CI30" s="50" t="str">
        <f t="shared" si="21"/>
        <v>X</v>
      </c>
      <c r="CJ30" s="51" t="b">
        <f>IF(ISNUMBER(CG30), IF(CI30=$H30,IF(CG30=$F30,IF(CH30=$G30,2,1),1),0))</f>
        <v>0</v>
      </c>
      <c r="CK30" s="48"/>
      <c r="CL30" s="49"/>
      <c r="CM30" s="50" t="str">
        <f t="shared" si="22"/>
        <v>X</v>
      </c>
      <c r="CN30" s="51" t="b">
        <f>IF(ISNUMBER(CK30), IF(CM30=$H30,IF(CK30=$F30,IF(CL30=$G30,2,1),1),0))</f>
        <v>0</v>
      </c>
      <c r="CO30" s="48"/>
      <c r="CP30" s="49"/>
      <c r="CQ30" s="50" t="str">
        <f t="shared" si="23"/>
        <v>X</v>
      </c>
      <c r="CR30" s="51" t="b">
        <f>IF(ISNUMBER(CO30), IF(CQ30=$H30,IF(CO30=$F30,IF(CP30=$G30,2,1),1),0))</f>
        <v>0</v>
      </c>
      <c r="CS30" s="48"/>
      <c r="CT30" s="49"/>
      <c r="CU30" s="50" t="str">
        <f t="shared" si="24"/>
        <v>X</v>
      </c>
      <c r="CV30" s="51" t="b">
        <f>IF(ISNUMBER(CS30), IF(CU30=$H30,IF(CS30=$F30,IF(CT30=$G30,2,1),1),0))</f>
        <v>0</v>
      </c>
      <c r="CW30" s="48"/>
      <c r="CX30" s="49"/>
      <c r="CY30" s="50" t="str">
        <f t="shared" si="25"/>
        <v>X</v>
      </c>
      <c r="CZ30" s="51" t="b">
        <f>IF(ISNUMBER(CW30), IF(CY30=$H30,IF(CW30=$F30,IF(CX30=$G30,2,1),1),0))</f>
        <v>0</v>
      </c>
      <c r="DA30" s="48"/>
      <c r="DB30" s="49"/>
      <c r="DC30" s="50" t="str">
        <f t="shared" si="26"/>
        <v>X</v>
      </c>
      <c r="DD30" s="51" t="b">
        <f>IF(ISNUMBER(DA30), IF(DC30=$H30,IF(DA30=$F30,IF(DB30=$G30,2,1),1),0))</f>
        <v>0</v>
      </c>
      <c r="DE30" s="48"/>
      <c r="DF30" s="49"/>
      <c r="DG30" s="50" t="str">
        <f t="shared" si="27"/>
        <v>X</v>
      </c>
      <c r="DH30" s="51" t="b">
        <f>IF(ISNUMBER(DE30), IF(DG30=$H30,IF(DE30=$F30,IF(DF30=$G30,2,1),1),0))</f>
        <v>0</v>
      </c>
      <c r="DI30" s="48"/>
      <c r="DJ30" s="49"/>
      <c r="DK30" s="50" t="str">
        <f t="shared" si="28"/>
        <v>X</v>
      </c>
      <c r="DL30" s="51" t="b">
        <f>IF(ISNUMBER(DI30), IF(DK30=$H30,IF(DI30=$F30,IF(DJ30=$G30,2,1),1),0))</f>
        <v>0</v>
      </c>
      <c r="DM30" s="48"/>
      <c r="DN30" s="49"/>
      <c r="DO30" s="50" t="str">
        <f t="shared" si="29"/>
        <v>X</v>
      </c>
      <c r="DP30" s="51" t="b">
        <f>IF(ISNUMBER(DM30), IF(DO30=$H30,IF(DM30=$F30,IF(DN30=$G30,2,1),1),0))</f>
        <v>0</v>
      </c>
    </row>
    <row r="31" spans="1:120" s="25" customFormat="1" ht="13" customHeight="1" thickBot="1">
      <c r="A31" s="52"/>
      <c r="B31" s="53"/>
      <c r="C31" s="54"/>
      <c r="D31" s="55" t="s">
        <v>144</v>
      </c>
      <c r="E31" s="33">
        <f t="shared" si="0"/>
        <v>0</v>
      </c>
      <c r="F31" s="56"/>
      <c r="G31" s="56"/>
      <c r="H31" s="57" t="b">
        <f t="shared" si="1"/>
        <v>0</v>
      </c>
      <c r="I31" s="58">
        <f>SUM(I28:I30)</f>
        <v>0</v>
      </c>
      <c r="J31" s="59">
        <f>SUM(J28:J30)</f>
        <v>0</v>
      </c>
      <c r="K31" s="59" t="str">
        <f t="shared" si="2"/>
        <v>X</v>
      </c>
      <c r="L31" s="60">
        <f>IF($H31=K31,SUM(L28:L30)+1,SUM(L28:L30))</f>
        <v>0</v>
      </c>
      <c r="M31" s="58">
        <f>SUM(M28:M30)</f>
        <v>0</v>
      </c>
      <c r="N31" s="59">
        <f>SUM(N28:N30)</f>
        <v>0</v>
      </c>
      <c r="O31" s="59" t="str">
        <f t="shared" si="3"/>
        <v>X</v>
      </c>
      <c r="P31" s="60">
        <f>IF($H31=O31,SUM(P28:P30)+1,SUM(P28:P30))</f>
        <v>0</v>
      </c>
      <c r="Q31" s="58">
        <f>SUM(Q28:Q30)</f>
        <v>0</v>
      </c>
      <c r="R31" s="59">
        <f>SUM(R28:R30)</f>
        <v>0</v>
      </c>
      <c r="S31" s="59" t="str">
        <f t="shared" si="4"/>
        <v>X</v>
      </c>
      <c r="T31" s="60">
        <f>IF($H31=S31,SUM(T28:T30)+1,SUM(T28:T30))</f>
        <v>0</v>
      </c>
      <c r="U31" s="58">
        <f>SUM(U28:U30)</f>
        <v>0</v>
      </c>
      <c r="V31" s="59">
        <f>SUM(V28:V30)</f>
        <v>0</v>
      </c>
      <c r="W31" s="59" t="str">
        <f t="shared" si="5"/>
        <v>X</v>
      </c>
      <c r="X31" s="60">
        <f>IF($H31=W31,SUM(X28:X30)+1,SUM(X28:X30))</f>
        <v>0</v>
      </c>
      <c r="Y31" s="58">
        <f>SUM(Y28:Y30)</f>
        <v>0</v>
      </c>
      <c r="Z31" s="59">
        <f>SUM(Z28:Z30)</f>
        <v>0</v>
      </c>
      <c r="AA31" s="59" t="str">
        <f t="shared" si="6"/>
        <v>X</v>
      </c>
      <c r="AB31" s="60">
        <f>IF($H31=AA31,SUM(AB28:AB30)+1,SUM(AB28:AB30))</f>
        <v>0</v>
      </c>
      <c r="AC31" s="58">
        <f>SUM(AC28:AC30)</f>
        <v>0</v>
      </c>
      <c r="AD31" s="59">
        <f>SUM(AD28:AD30)</f>
        <v>0</v>
      </c>
      <c r="AE31" s="59" t="str">
        <f t="shared" si="7"/>
        <v>X</v>
      </c>
      <c r="AF31" s="60">
        <f>IF($H31=AE31,SUM(AF28:AF30)+1,SUM(AF28:AF30))</f>
        <v>0</v>
      </c>
      <c r="AG31" s="58">
        <f>SUM(AG28:AG30)</f>
        <v>0</v>
      </c>
      <c r="AH31" s="59">
        <f>SUM(AH28:AH30)</f>
        <v>0</v>
      </c>
      <c r="AI31" s="59" t="str">
        <f t="shared" si="8"/>
        <v>X</v>
      </c>
      <c r="AJ31" s="60">
        <f>IF($H31=AI31,SUM(AJ28:AJ30)+1,SUM(AJ28:AJ30))</f>
        <v>0</v>
      </c>
      <c r="AK31" s="58">
        <f>SUM(AK28:AK30)</f>
        <v>0</v>
      </c>
      <c r="AL31" s="59">
        <f>SUM(AL28:AL30)</f>
        <v>0</v>
      </c>
      <c r="AM31" s="59" t="str">
        <f t="shared" si="9"/>
        <v>X</v>
      </c>
      <c r="AN31" s="60">
        <f>IF($H31=AM31,SUM(AN28:AN30)+1,SUM(AN28:AN30))</f>
        <v>0</v>
      </c>
      <c r="AO31" s="58">
        <f>SUM(AO28:AO30)</f>
        <v>0</v>
      </c>
      <c r="AP31" s="59">
        <f>SUM(AP28:AP30)</f>
        <v>0</v>
      </c>
      <c r="AQ31" s="59" t="str">
        <f t="shared" si="10"/>
        <v>X</v>
      </c>
      <c r="AR31" s="60">
        <f>IF($H31=AQ31,SUM(AR28:AR30)+1,SUM(AR28:AR30))</f>
        <v>0</v>
      </c>
      <c r="AS31" s="58">
        <f>SUM(AS28:AS30)</f>
        <v>0</v>
      </c>
      <c r="AT31" s="59">
        <f>SUM(AT28:AT30)</f>
        <v>0</v>
      </c>
      <c r="AU31" s="59" t="str">
        <f t="shared" si="11"/>
        <v>X</v>
      </c>
      <c r="AV31" s="60">
        <f>IF($H31=AU31,SUM(AV28:AV30)+1,SUM(AV28:AV30))</f>
        <v>0</v>
      </c>
      <c r="AW31" s="58">
        <f>SUM(AW28:AW30)</f>
        <v>0</v>
      </c>
      <c r="AX31" s="59">
        <f>SUM(AX28:AX30)</f>
        <v>0</v>
      </c>
      <c r="AY31" s="59" t="str">
        <f t="shared" si="12"/>
        <v>X</v>
      </c>
      <c r="AZ31" s="60">
        <f>IF($H31=AY31,SUM(AZ28:AZ30)+1,SUM(AZ28:AZ30))</f>
        <v>0</v>
      </c>
      <c r="BA31" s="58">
        <f>SUM(BA28:BA30)</f>
        <v>0</v>
      </c>
      <c r="BB31" s="59">
        <f>SUM(BB28:BB30)</f>
        <v>0</v>
      </c>
      <c r="BC31" s="59" t="str">
        <f t="shared" si="13"/>
        <v>X</v>
      </c>
      <c r="BD31" s="60">
        <f>IF($H31=BC31,SUM(BD28:BD30)+1,SUM(BD28:BD30))</f>
        <v>0</v>
      </c>
      <c r="BE31" s="58">
        <f>SUM(BE28:BE30)</f>
        <v>0</v>
      </c>
      <c r="BF31" s="59">
        <f>SUM(BF28:BF30)</f>
        <v>0</v>
      </c>
      <c r="BG31" s="59" t="str">
        <f t="shared" si="14"/>
        <v>X</v>
      </c>
      <c r="BH31" s="60">
        <f>IF($H31=BG31,SUM(BH28:BH30)+1,SUM(BH28:BH30))</f>
        <v>0</v>
      </c>
      <c r="BI31" s="58">
        <f>SUM(BI28:BI30)</f>
        <v>0</v>
      </c>
      <c r="BJ31" s="59">
        <f>SUM(BJ28:BJ30)</f>
        <v>0</v>
      </c>
      <c r="BK31" s="59" t="str">
        <f t="shared" si="15"/>
        <v>X</v>
      </c>
      <c r="BL31" s="60">
        <f>IF($H31=BK31,SUM(BL28:BL30)+1,SUM(BL28:BL30))</f>
        <v>0</v>
      </c>
      <c r="BM31" s="58">
        <f>SUM(BM28:BM30)</f>
        <v>0</v>
      </c>
      <c r="BN31" s="59">
        <f>SUM(BN28:BN30)</f>
        <v>0</v>
      </c>
      <c r="BO31" s="59" t="str">
        <f t="shared" si="16"/>
        <v>X</v>
      </c>
      <c r="BP31" s="60">
        <f>IF($H31=BO31,SUM(BP28:BP30)+1,SUM(BP28:BP30))</f>
        <v>0</v>
      </c>
      <c r="BQ31" s="58">
        <f>SUM(BQ28:BQ30)</f>
        <v>0</v>
      </c>
      <c r="BR31" s="59">
        <f>SUM(BR28:BR30)</f>
        <v>0</v>
      </c>
      <c r="BS31" s="59" t="str">
        <f t="shared" si="17"/>
        <v>X</v>
      </c>
      <c r="BT31" s="60">
        <f>IF($H31=BS31,SUM(BT28:BT30)+1,SUM(BT28:BT30))</f>
        <v>0</v>
      </c>
      <c r="BU31" s="58">
        <f>SUM(BU28:BU30)</f>
        <v>0</v>
      </c>
      <c r="BV31" s="59">
        <f>SUM(BV28:BV30)</f>
        <v>0</v>
      </c>
      <c r="BW31" s="59" t="str">
        <f t="shared" si="18"/>
        <v>X</v>
      </c>
      <c r="BX31" s="60">
        <f>IF($H31=BW31,SUM(BX28:BX30)+1,SUM(BX28:BX30))</f>
        <v>0</v>
      </c>
      <c r="BY31" s="58">
        <f>SUM(BY28:BY30)</f>
        <v>0</v>
      </c>
      <c r="BZ31" s="59">
        <f>SUM(BZ28:BZ30)</f>
        <v>0</v>
      </c>
      <c r="CA31" s="59" t="str">
        <f t="shared" si="19"/>
        <v>X</v>
      </c>
      <c r="CB31" s="60">
        <f>IF($H31=CA31,SUM(CB28:CB30)+1,SUM(CB28:CB30))</f>
        <v>0</v>
      </c>
      <c r="CC31" s="58">
        <f>SUM(CC28:CC30)</f>
        <v>0</v>
      </c>
      <c r="CD31" s="59">
        <f>SUM(CD28:CD30)</f>
        <v>0</v>
      </c>
      <c r="CE31" s="59" t="str">
        <f t="shared" si="20"/>
        <v>X</v>
      </c>
      <c r="CF31" s="60">
        <f>IF($H31=CE31,SUM(CF28:CF30)+1,SUM(CF28:CF30))</f>
        <v>0</v>
      </c>
      <c r="CG31" s="58">
        <f>SUM(CG28:CG30)</f>
        <v>0</v>
      </c>
      <c r="CH31" s="59">
        <f>SUM(CH28:CH30)</f>
        <v>0</v>
      </c>
      <c r="CI31" s="59" t="str">
        <f t="shared" si="21"/>
        <v>X</v>
      </c>
      <c r="CJ31" s="60">
        <f>IF($H31=CI31,SUM(CJ28:CJ30)+1,SUM(CJ28:CJ30))</f>
        <v>0</v>
      </c>
      <c r="CK31" s="58">
        <f>SUM(CK28:CK30)</f>
        <v>0</v>
      </c>
      <c r="CL31" s="59">
        <f>SUM(CL28:CL30)</f>
        <v>0</v>
      </c>
      <c r="CM31" s="59" t="str">
        <f t="shared" si="22"/>
        <v>X</v>
      </c>
      <c r="CN31" s="60">
        <f>IF($H31=CM31,SUM(CN28:CN30)+1,SUM(CN28:CN30))</f>
        <v>0</v>
      </c>
      <c r="CO31" s="58">
        <f>SUM(CO28:CO30)</f>
        <v>0</v>
      </c>
      <c r="CP31" s="59">
        <f>SUM(CP28:CP30)</f>
        <v>0</v>
      </c>
      <c r="CQ31" s="59" t="str">
        <f t="shared" si="23"/>
        <v>X</v>
      </c>
      <c r="CR31" s="60">
        <f>IF($H31=CQ31,SUM(CR28:CR30)+1,SUM(CR28:CR30))</f>
        <v>0</v>
      </c>
      <c r="CS31" s="58">
        <f>SUM(CS28:CS30)</f>
        <v>0</v>
      </c>
      <c r="CT31" s="59">
        <f>SUM(CT28:CT30)</f>
        <v>0</v>
      </c>
      <c r="CU31" s="59" t="str">
        <f t="shared" si="24"/>
        <v>X</v>
      </c>
      <c r="CV31" s="60">
        <f>IF($H31=CU31,SUM(CV28:CV30)+1,SUM(CV28:CV30))</f>
        <v>0</v>
      </c>
      <c r="CW31" s="58">
        <f>SUM(CW28:CW30)</f>
        <v>0</v>
      </c>
      <c r="CX31" s="59">
        <f>SUM(CX28:CX30)</f>
        <v>0</v>
      </c>
      <c r="CY31" s="59" t="str">
        <f t="shared" si="25"/>
        <v>X</v>
      </c>
      <c r="CZ31" s="60">
        <f>IF($H31=CY31,SUM(CZ28:CZ30)+1,SUM(CZ28:CZ30))</f>
        <v>0</v>
      </c>
      <c r="DA31" s="58">
        <f>SUM(DA28:DA30)</f>
        <v>0</v>
      </c>
      <c r="DB31" s="59">
        <f>SUM(DB28:DB30)</f>
        <v>0</v>
      </c>
      <c r="DC31" s="59" t="str">
        <f t="shared" si="26"/>
        <v>X</v>
      </c>
      <c r="DD31" s="60">
        <f>IF($H31=DC31,SUM(DD28:DD30)+1,SUM(DD28:DD30))</f>
        <v>0</v>
      </c>
      <c r="DE31" s="58">
        <f>SUM(DE28:DE30)</f>
        <v>0</v>
      </c>
      <c r="DF31" s="59">
        <f>SUM(DF28:DF30)</f>
        <v>0</v>
      </c>
      <c r="DG31" s="59" t="str">
        <f t="shared" si="27"/>
        <v>X</v>
      </c>
      <c r="DH31" s="60">
        <f>IF($H31=DG31,SUM(DH28:DH30)+1,SUM(DH28:DH30))</f>
        <v>0</v>
      </c>
      <c r="DI31" s="58">
        <f>SUM(DI28:DI30)</f>
        <v>0</v>
      </c>
      <c r="DJ31" s="59">
        <f>SUM(DJ28:DJ30)</f>
        <v>0</v>
      </c>
      <c r="DK31" s="59" t="str">
        <f t="shared" si="28"/>
        <v>X</v>
      </c>
      <c r="DL31" s="60">
        <f>IF($H31=DK31,SUM(DL28:DL30)+1,SUM(DL28:DL30))</f>
        <v>0</v>
      </c>
      <c r="DM31" s="58">
        <f>SUM(DM28:DM30)</f>
        <v>0</v>
      </c>
      <c r="DN31" s="59">
        <f>SUM(DN28:DN30)</f>
        <v>0</v>
      </c>
      <c r="DO31" s="59" t="str">
        <f t="shared" si="29"/>
        <v>X</v>
      </c>
      <c r="DP31" s="60">
        <f>IF($H31=DO31,SUM(DP28:DP30)+1,SUM(DP28:DP30))</f>
        <v>0</v>
      </c>
    </row>
    <row r="32" spans="1:120" ht="13" customHeight="1" thickBot="1">
      <c r="A32" s="113">
        <f>A28</f>
        <v>43439</v>
      </c>
      <c r="B32" s="30" t="s">
        <v>140</v>
      </c>
      <c r="C32" s="31"/>
      <c r="D32" s="32" t="s">
        <v>141</v>
      </c>
      <c r="E32" s="33">
        <f t="shared" si="0"/>
        <v>0</v>
      </c>
      <c r="F32" s="34"/>
      <c r="G32" s="35"/>
      <c r="H32" s="36" t="b">
        <f t="shared" si="1"/>
        <v>0</v>
      </c>
      <c r="I32" s="37"/>
      <c r="J32" s="38"/>
      <c r="K32" s="39" t="str">
        <f t="shared" si="2"/>
        <v>X</v>
      </c>
      <c r="L32" s="40" t="b">
        <f>IF(ISNUMBER(I32), IF(K32=$H32,IF(I32=$F32,IF(J32=$G32,IF($F32-$G32&gt;=3,6,IF($G32-$F32&gt;=3,6,IF($F32+$G32&gt;=4,6,5))),3),3),0))</f>
        <v>0</v>
      </c>
      <c r="M32" s="37"/>
      <c r="N32" s="38"/>
      <c r="O32" s="39" t="str">
        <f t="shared" si="3"/>
        <v>X</v>
      </c>
      <c r="P32" s="40" t="b">
        <f>IF(ISNUMBER(M32), IF(O32=$H32,IF(M32=$F32,IF(N32=$G32,IF($F32-$G32&gt;=3,6,IF($G32-$F32&gt;=3,6,IF($F32+$G32&gt;=4,6,5))),3),3),0))</f>
        <v>0</v>
      </c>
      <c r="Q32" s="37"/>
      <c r="R32" s="38"/>
      <c r="S32" s="39" t="str">
        <f t="shared" si="4"/>
        <v>X</v>
      </c>
      <c r="T32" s="40" t="b">
        <f>IF(ISNUMBER(Q32), IF(S32=$H32,IF(Q32=$F32,IF(R32=$G32,IF($F32-$G32&gt;=3,6,IF($G32-$F32&gt;=3,6,IF($F32+$G32&gt;=4,6,5))),3),3),0))</f>
        <v>0</v>
      </c>
      <c r="U32" s="37"/>
      <c r="V32" s="38"/>
      <c r="W32" s="39" t="str">
        <f t="shared" si="5"/>
        <v>X</v>
      </c>
      <c r="X32" s="40" t="b">
        <f>IF(ISNUMBER(U32), IF(W32=$H32,IF(U32=$F32,IF(V32=$G32,IF($F32-$G32&gt;=3,6,IF($G32-$F32&gt;=3,6,IF($F32+$G32&gt;=4,6,5))),3),3),0))</f>
        <v>0</v>
      </c>
      <c r="Y32" s="37"/>
      <c r="Z32" s="38"/>
      <c r="AA32" s="39" t="str">
        <f t="shared" si="6"/>
        <v>X</v>
      </c>
      <c r="AB32" s="40" t="b">
        <f>IF(ISNUMBER(Y32), IF(AA32=$H32,IF(Y32=$F32,IF(Z32=$G32,IF($F32-$G32&gt;=3,6,IF($G32-$F32&gt;=3,6,IF($F32+$G32&gt;=4,6,5))),3),3),0))</f>
        <v>0</v>
      </c>
      <c r="AC32" s="37"/>
      <c r="AD32" s="38"/>
      <c r="AE32" s="39" t="str">
        <f t="shared" si="7"/>
        <v>X</v>
      </c>
      <c r="AF32" s="40" t="b">
        <f>IF(ISNUMBER(AC32), IF(AE32=$H32,IF(AC32=$F32,IF(AD32=$G32,IF($F32-$G32&gt;=3,6,IF($G32-$F32&gt;=3,6,IF($F32+$G32&gt;=4,6,5))),3),3),0))</f>
        <v>0</v>
      </c>
      <c r="AG32" s="37"/>
      <c r="AH32" s="38"/>
      <c r="AI32" s="39" t="str">
        <f t="shared" si="8"/>
        <v>X</v>
      </c>
      <c r="AJ32" s="40" t="b">
        <f>IF(ISNUMBER(AG32), IF(AI32=$H32,IF(AG32=$F32,IF(AH32=$G32,IF($F32-$G32&gt;=3,6,IF($G32-$F32&gt;=3,6,IF($F32+$G32&gt;=4,6,5))),3),3),0))</f>
        <v>0</v>
      </c>
      <c r="AK32" s="37"/>
      <c r="AL32" s="38"/>
      <c r="AM32" s="39" t="str">
        <f t="shared" si="9"/>
        <v>X</v>
      </c>
      <c r="AN32" s="40" t="b">
        <f>IF(ISNUMBER(AK32), IF(AM32=$H32,IF(AK32=$F32,IF(AL32=$G32,IF($F32-$G32&gt;=3,6,IF($G32-$F32&gt;=3,6,IF($F32+$G32&gt;=4,6,5))),3),3),0))</f>
        <v>0</v>
      </c>
      <c r="AO32" s="37"/>
      <c r="AP32" s="38"/>
      <c r="AQ32" s="39" t="str">
        <f t="shared" si="10"/>
        <v>X</v>
      </c>
      <c r="AR32" s="40" t="b">
        <f>IF(ISNUMBER(AO32), IF(AQ32=$H32,IF(AO32=$F32,IF(AP32=$G32,IF($F32-$G32&gt;=3,6,IF($G32-$F32&gt;=3,6,IF($F32+$G32&gt;=4,6,5))),3),3),0))</f>
        <v>0</v>
      </c>
      <c r="AS32" s="37"/>
      <c r="AT32" s="38"/>
      <c r="AU32" s="39" t="str">
        <f t="shared" si="11"/>
        <v>X</v>
      </c>
      <c r="AV32" s="40" t="b">
        <f>IF(ISNUMBER(AS32), IF(AU32=$H32,IF(AS32=$F32,IF(AT32=$G32,IF($F32-$G32&gt;=3,6,IF($G32-$F32&gt;=3,6,IF($F32+$G32&gt;=4,6,5))),3),3),0))</f>
        <v>0</v>
      </c>
      <c r="AW32" s="37"/>
      <c r="AX32" s="38"/>
      <c r="AY32" s="39" t="str">
        <f t="shared" si="12"/>
        <v>X</v>
      </c>
      <c r="AZ32" s="40" t="b">
        <f>IF(ISNUMBER(AW32), IF(AY32=$H32,IF(AW32=$F32,IF(AX32=$G32,IF($F32-$G32&gt;=3,6,IF($G32-$F32&gt;=3,6,IF($F32+$G32&gt;=4,6,5))),3),3),0))</f>
        <v>0</v>
      </c>
      <c r="BA32" s="37"/>
      <c r="BB32" s="38"/>
      <c r="BC32" s="39" t="str">
        <f t="shared" si="13"/>
        <v>X</v>
      </c>
      <c r="BD32" s="40" t="b">
        <f>IF(ISNUMBER(BA32), IF(BC32=$H32,IF(BA32=$F32,IF(BB32=$G32,IF($F32-$G32&gt;=3,6,IF($G32-$F32&gt;=3,6,IF($F32+$G32&gt;=4,6,5))),3),3),0))</f>
        <v>0</v>
      </c>
      <c r="BE32" s="37"/>
      <c r="BF32" s="38"/>
      <c r="BG32" s="39" t="str">
        <f t="shared" si="14"/>
        <v>X</v>
      </c>
      <c r="BH32" s="40" t="b">
        <f>IF(ISNUMBER(BE32), IF(BG32=$H32,IF(BE32=$F32,IF(BF32=$G32,IF($F32-$G32&gt;=3,6,IF($G32-$F32&gt;=3,6,IF($F32+$G32&gt;=4,6,5))),3),3),0))</f>
        <v>0</v>
      </c>
      <c r="BI32" s="37"/>
      <c r="BJ32" s="38"/>
      <c r="BK32" s="39" t="str">
        <f t="shared" si="15"/>
        <v>X</v>
      </c>
      <c r="BL32" s="40" t="b">
        <f>IF(ISNUMBER(BI32), IF(BK32=$H32,IF(BI32=$F32,IF(BJ32=$G32,IF($F32-$G32&gt;=3,6,IF($G32-$F32&gt;=3,6,IF($F32+$G32&gt;=4,6,5))),3),3),0))</f>
        <v>0</v>
      </c>
      <c r="BM32" s="37"/>
      <c r="BN32" s="38"/>
      <c r="BO32" s="39" t="str">
        <f t="shared" si="16"/>
        <v>X</v>
      </c>
      <c r="BP32" s="40" t="b">
        <f>IF(ISNUMBER(BM32), IF(BO32=$H32,IF(BM32=$F32,IF(BN32=$G32,IF($F32-$G32&gt;=3,6,IF($G32-$F32&gt;=3,6,IF($F32+$G32&gt;=4,6,5))),3),3),0))</f>
        <v>0</v>
      </c>
      <c r="BQ32" s="37"/>
      <c r="BR32" s="38"/>
      <c r="BS32" s="39" t="str">
        <f t="shared" si="17"/>
        <v>X</v>
      </c>
      <c r="BT32" s="40" t="b">
        <f>IF(ISNUMBER(BQ32), IF(BS32=$H32,IF(BQ32=$F32,IF(BR32=$G32,IF($F32-$G32&gt;=3,6,IF($G32-$F32&gt;=3,6,IF($F32+$G32&gt;=4,6,5))),3),3),0))</f>
        <v>0</v>
      </c>
      <c r="BU32" s="37"/>
      <c r="BV32" s="38"/>
      <c r="BW32" s="39" t="str">
        <f t="shared" si="18"/>
        <v>X</v>
      </c>
      <c r="BX32" s="40" t="b">
        <f>IF(ISNUMBER(BU32), IF(BW32=$H32,IF(BU32=$F32,IF(BV32=$G32,IF($F32-$G32&gt;=3,6,IF($G32-$F32&gt;=3,6,IF($F32+$G32&gt;=4,6,5))),3),3),0))</f>
        <v>0</v>
      </c>
      <c r="BY32" s="37"/>
      <c r="BZ32" s="38"/>
      <c r="CA32" s="39" t="str">
        <f t="shared" si="19"/>
        <v>X</v>
      </c>
      <c r="CB32" s="40" t="b">
        <f>IF(ISNUMBER(BY32), IF(CA32=$H32,IF(BY32=$F32,IF(BZ32=$G32,IF($F32-$G32&gt;=3,6,IF($G32-$F32&gt;=3,6,IF($F32+$G32&gt;=4,6,5))),3),3),0))</f>
        <v>0</v>
      </c>
      <c r="CC32" s="37"/>
      <c r="CD32" s="38"/>
      <c r="CE32" s="39" t="str">
        <f t="shared" si="20"/>
        <v>X</v>
      </c>
      <c r="CF32" s="40" t="b">
        <f>IF(ISNUMBER(CC32), IF(CE32=$H32,IF(CC32=$F32,IF(CD32=$G32,IF($F32-$G32&gt;=3,6,IF($G32-$F32&gt;=3,6,IF($F32+$G32&gt;=4,6,5))),3),3),0))</f>
        <v>0</v>
      </c>
      <c r="CG32" s="37"/>
      <c r="CH32" s="38"/>
      <c r="CI32" s="39" t="str">
        <f t="shared" si="21"/>
        <v>X</v>
      </c>
      <c r="CJ32" s="40" t="b">
        <f>IF(ISNUMBER(CG32), IF(CI32=$H32,IF(CG32=$F32,IF(CH32=$G32,IF($F32-$G32&gt;=3,6,IF($G32-$F32&gt;=3,6,IF($F32+$G32&gt;=4,6,5))),3),3),0))</f>
        <v>0</v>
      </c>
      <c r="CK32" s="37"/>
      <c r="CL32" s="38"/>
      <c r="CM32" s="39" t="str">
        <f t="shared" si="22"/>
        <v>X</v>
      </c>
      <c r="CN32" s="40" t="b">
        <f>IF(ISNUMBER(CK32), IF(CM32=$H32,IF(CK32=$F32,IF(CL32=$G32,IF($F32-$G32&gt;=3,6,IF($G32-$F32&gt;=3,6,IF($F32+$G32&gt;=4,6,5))),3),3),0))</f>
        <v>0</v>
      </c>
      <c r="CO32" s="37"/>
      <c r="CP32" s="38"/>
      <c r="CQ32" s="39" t="str">
        <f t="shared" si="23"/>
        <v>X</v>
      </c>
      <c r="CR32" s="40" t="b">
        <f>IF(ISNUMBER(CO32), IF(CQ32=$H32,IF(CO32=$F32,IF(CP32=$G32,IF($F32-$G32&gt;=3,6,IF($G32-$F32&gt;=3,6,IF($F32+$G32&gt;=4,6,5))),3),3),0))</f>
        <v>0</v>
      </c>
      <c r="CS32" s="37"/>
      <c r="CT32" s="38"/>
      <c r="CU32" s="39" t="str">
        <f t="shared" si="24"/>
        <v>X</v>
      </c>
      <c r="CV32" s="40" t="b">
        <f>IF(ISNUMBER(CS32), IF(CU32=$H32,IF(CS32=$F32,IF(CT32=$G32,IF($F32-$G32&gt;=3,6,IF($G32-$F32&gt;=3,6,IF($F32+$G32&gt;=4,6,5))),3),3),0))</f>
        <v>0</v>
      </c>
      <c r="CW32" s="37"/>
      <c r="CX32" s="38"/>
      <c r="CY32" s="39" t="str">
        <f t="shared" si="25"/>
        <v>X</v>
      </c>
      <c r="CZ32" s="40" t="b">
        <f>IF(ISNUMBER(CW32), IF(CY32=$H32,IF(CW32=$F32,IF(CX32=$G32,IF($F32-$G32&gt;=3,6,IF($G32-$F32&gt;=3,6,IF($F32+$G32&gt;=4,6,5))),3),3),0))</f>
        <v>0</v>
      </c>
      <c r="DA32" s="37"/>
      <c r="DB32" s="38"/>
      <c r="DC32" s="39" t="str">
        <f t="shared" si="26"/>
        <v>X</v>
      </c>
      <c r="DD32" s="40" t="b">
        <f>IF(ISNUMBER(DA32), IF(DC32=$H32,IF(DA32=$F32,IF(DB32=$G32,IF($F32-$G32&gt;=3,6,IF($G32-$F32&gt;=3,6,IF($F32+$G32&gt;=4,6,5))),3),3),0))</f>
        <v>0</v>
      </c>
      <c r="DE32" s="37"/>
      <c r="DF32" s="38"/>
      <c r="DG32" s="39" t="str">
        <f t="shared" si="27"/>
        <v>X</v>
      </c>
      <c r="DH32" s="40" t="b">
        <f>IF(ISNUMBER(DE32), IF(DG32=$H32,IF(DE32=$F32,IF(DF32=$G32,IF($F32-$G32&gt;=3,6,IF($G32-$F32&gt;=3,6,IF($F32+$G32&gt;=4,6,5))),3),3),0))</f>
        <v>0</v>
      </c>
      <c r="DI32" s="37"/>
      <c r="DJ32" s="38"/>
      <c r="DK32" s="39" t="str">
        <f t="shared" si="28"/>
        <v>X</v>
      </c>
      <c r="DL32" s="40" t="b">
        <f>IF(ISNUMBER(DI32), IF(DK32=$H32,IF(DI32=$F32,IF(DJ32=$G32,IF($F32-$G32&gt;=3,6,IF($G32-$F32&gt;=3,6,IF($F32+$G32&gt;=4,6,5))),3),3),0))</f>
        <v>0</v>
      </c>
      <c r="DM32" s="37"/>
      <c r="DN32" s="38"/>
      <c r="DO32" s="39" t="str">
        <f t="shared" si="29"/>
        <v>X</v>
      </c>
      <c r="DP32" s="40" t="b">
        <f>IF(ISNUMBER(DM32), IF(DO32=$H32,IF(DM32=$F32,IF(DN32=$G32,IF($F32-$G32&gt;=3,6,IF($G32-$F32&gt;=3,6,IF($F32+$G32&gt;=4,6,5))),3),3),0))</f>
        <v>0</v>
      </c>
    </row>
    <row r="33" spans="1:120" ht="13" customHeight="1" thickBot="1">
      <c r="A33" s="41"/>
      <c r="B33" s="42"/>
      <c r="C33" s="43"/>
      <c r="D33" s="44" t="s">
        <v>142</v>
      </c>
      <c r="E33" s="33">
        <f t="shared" si="0"/>
        <v>0</v>
      </c>
      <c r="F33" s="45"/>
      <c r="G33" s="46"/>
      <c r="H33" s="47" t="b">
        <f t="shared" si="1"/>
        <v>0</v>
      </c>
      <c r="I33" s="48"/>
      <c r="J33" s="49"/>
      <c r="K33" s="50" t="str">
        <f t="shared" si="2"/>
        <v>X</v>
      </c>
      <c r="L33" s="51" t="b">
        <f>IF(ISNUMBER(I33), IF(K33=$H33,IF(I33=$F33,IF(J33=$G33,2,1),1),0))</f>
        <v>0</v>
      </c>
      <c r="M33" s="48"/>
      <c r="N33" s="49"/>
      <c r="O33" s="50" t="str">
        <f t="shared" si="3"/>
        <v>X</v>
      </c>
      <c r="P33" s="51" t="b">
        <f>IF(ISNUMBER(M33), IF(O33=$H33,IF(M33=$F33,IF(N33=$G33,2,1),1),0))</f>
        <v>0</v>
      </c>
      <c r="Q33" s="48"/>
      <c r="R33" s="49"/>
      <c r="S33" s="50" t="str">
        <f t="shared" si="4"/>
        <v>X</v>
      </c>
      <c r="T33" s="51" t="b">
        <f>IF(ISNUMBER(Q33), IF(S33=$H33,IF(Q33=$F33,IF(R33=$G33,2,1),1),0))</f>
        <v>0</v>
      </c>
      <c r="U33" s="48"/>
      <c r="V33" s="49"/>
      <c r="W33" s="50" t="str">
        <f t="shared" si="5"/>
        <v>X</v>
      </c>
      <c r="X33" s="51" t="b">
        <f>IF(ISNUMBER(U33), IF(W33=$H33,IF(U33=$F33,IF(V33=$G33,2,1),1),0))</f>
        <v>0</v>
      </c>
      <c r="Y33" s="48"/>
      <c r="Z33" s="49"/>
      <c r="AA33" s="50" t="str">
        <f t="shared" si="6"/>
        <v>X</v>
      </c>
      <c r="AB33" s="51" t="b">
        <f>IF(ISNUMBER(Y33), IF(AA33=$H33,IF(Y33=$F33,IF(Z33=$G33,2,1),1),0))</f>
        <v>0</v>
      </c>
      <c r="AC33" s="48"/>
      <c r="AD33" s="49"/>
      <c r="AE33" s="50" t="str">
        <f t="shared" si="7"/>
        <v>X</v>
      </c>
      <c r="AF33" s="51" t="b">
        <f>IF(ISNUMBER(AC33), IF(AE33=$H33,IF(AC33=$F33,IF(AD33=$G33,2,1),1),0))</f>
        <v>0</v>
      </c>
      <c r="AG33" s="48"/>
      <c r="AH33" s="49"/>
      <c r="AI33" s="50" t="str">
        <f t="shared" si="8"/>
        <v>X</v>
      </c>
      <c r="AJ33" s="51" t="b">
        <f>IF(ISNUMBER(AG33), IF(AI33=$H33,IF(AG33=$F33,IF(AH33=$G33,2,1),1),0))</f>
        <v>0</v>
      </c>
      <c r="AK33" s="48"/>
      <c r="AL33" s="49"/>
      <c r="AM33" s="50" t="str">
        <f t="shared" si="9"/>
        <v>X</v>
      </c>
      <c r="AN33" s="51" t="b">
        <f>IF(ISNUMBER(AK33), IF(AM33=$H33,IF(AK33=$F33,IF(AL33=$G33,2,1),1),0))</f>
        <v>0</v>
      </c>
      <c r="AO33" s="48"/>
      <c r="AP33" s="49"/>
      <c r="AQ33" s="50" t="str">
        <f t="shared" si="10"/>
        <v>X</v>
      </c>
      <c r="AR33" s="51" t="b">
        <f>IF(ISNUMBER(AO33), IF(AQ33=$H33,IF(AO33=$F33,IF(AP33=$G33,2,1),1),0))</f>
        <v>0</v>
      </c>
      <c r="AS33" s="48"/>
      <c r="AT33" s="49"/>
      <c r="AU33" s="50" t="str">
        <f t="shared" si="11"/>
        <v>X</v>
      </c>
      <c r="AV33" s="51" t="b">
        <f>IF(ISNUMBER(AS33), IF(AU33=$H33,IF(AS33=$F33,IF(AT33=$G33,2,1),1),0))</f>
        <v>0</v>
      </c>
      <c r="AW33" s="48"/>
      <c r="AX33" s="49"/>
      <c r="AY33" s="50" t="str">
        <f t="shared" si="12"/>
        <v>X</v>
      </c>
      <c r="AZ33" s="51" t="b">
        <f>IF(ISNUMBER(AW33), IF(AY33=$H33,IF(AW33=$F33,IF(AX33=$G33,2,1),1),0))</f>
        <v>0</v>
      </c>
      <c r="BA33" s="48"/>
      <c r="BB33" s="49"/>
      <c r="BC33" s="50" t="str">
        <f t="shared" si="13"/>
        <v>X</v>
      </c>
      <c r="BD33" s="51" t="b">
        <f>IF(ISNUMBER(BA33), IF(BC33=$H33,IF(BA33=$F33,IF(BB33=$G33,2,1),1),0))</f>
        <v>0</v>
      </c>
      <c r="BE33" s="48"/>
      <c r="BF33" s="49"/>
      <c r="BG33" s="50" t="str">
        <f t="shared" si="14"/>
        <v>X</v>
      </c>
      <c r="BH33" s="51" t="b">
        <f>IF(ISNUMBER(BE33), IF(BG33=$H33,IF(BE33=$F33,IF(BF33=$G33,2,1),1),0))</f>
        <v>0</v>
      </c>
      <c r="BI33" s="48"/>
      <c r="BJ33" s="49"/>
      <c r="BK33" s="50" t="str">
        <f t="shared" si="15"/>
        <v>X</v>
      </c>
      <c r="BL33" s="51" t="b">
        <f>IF(ISNUMBER(BI33), IF(BK33=$H33,IF(BI33=$F33,IF(BJ33=$G33,2,1),1),0))</f>
        <v>0</v>
      </c>
      <c r="BM33" s="48"/>
      <c r="BN33" s="49"/>
      <c r="BO33" s="50" t="str">
        <f t="shared" si="16"/>
        <v>X</v>
      </c>
      <c r="BP33" s="51" t="b">
        <f>IF(ISNUMBER(BM33), IF(BO33=$H33,IF(BM33=$F33,IF(BN33=$G33,2,1),1),0))</f>
        <v>0</v>
      </c>
      <c r="BQ33" s="48"/>
      <c r="BR33" s="49"/>
      <c r="BS33" s="50" t="str">
        <f t="shared" si="17"/>
        <v>X</v>
      </c>
      <c r="BT33" s="51" t="b">
        <f>IF(ISNUMBER(BQ33), IF(BS33=$H33,IF(BQ33=$F33,IF(BR33=$G33,2,1),1),0))</f>
        <v>0</v>
      </c>
      <c r="BU33" s="48"/>
      <c r="BV33" s="49"/>
      <c r="BW33" s="50" t="str">
        <f t="shared" si="18"/>
        <v>X</v>
      </c>
      <c r="BX33" s="51" t="b">
        <f>IF(ISNUMBER(BU33), IF(BW33=$H33,IF(BU33=$F33,IF(BV33=$G33,2,1),1),0))</f>
        <v>0</v>
      </c>
      <c r="BY33" s="48"/>
      <c r="BZ33" s="49"/>
      <c r="CA33" s="50" t="str">
        <f t="shared" si="19"/>
        <v>X</v>
      </c>
      <c r="CB33" s="51" t="b">
        <f>IF(ISNUMBER(BY33), IF(CA33=$H33,IF(BY33=$F33,IF(BZ33=$G33,2,1),1),0))</f>
        <v>0</v>
      </c>
      <c r="CC33" s="48"/>
      <c r="CD33" s="49"/>
      <c r="CE33" s="50" t="str">
        <f t="shared" si="20"/>
        <v>X</v>
      </c>
      <c r="CF33" s="51" t="b">
        <f>IF(ISNUMBER(CC33), IF(CE33=$H33,IF(CC33=$F33,IF(CD33=$G33,2,1),1),0))</f>
        <v>0</v>
      </c>
      <c r="CG33" s="48"/>
      <c r="CH33" s="49"/>
      <c r="CI33" s="50" t="str">
        <f t="shared" si="21"/>
        <v>X</v>
      </c>
      <c r="CJ33" s="51" t="b">
        <f>IF(ISNUMBER(CG33), IF(CI33=$H33,IF(CG33=$F33,IF(CH33=$G33,2,1),1),0))</f>
        <v>0</v>
      </c>
      <c r="CK33" s="48"/>
      <c r="CL33" s="49"/>
      <c r="CM33" s="50" t="str">
        <f t="shared" si="22"/>
        <v>X</v>
      </c>
      <c r="CN33" s="51" t="b">
        <f>IF(ISNUMBER(CK33), IF(CM33=$H33,IF(CK33=$F33,IF(CL33=$G33,2,1),1),0))</f>
        <v>0</v>
      </c>
      <c r="CO33" s="48"/>
      <c r="CP33" s="49"/>
      <c r="CQ33" s="50" t="str">
        <f t="shared" si="23"/>
        <v>X</v>
      </c>
      <c r="CR33" s="51" t="b">
        <f>IF(ISNUMBER(CO33), IF(CQ33=$H33,IF(CO33=$F33,IF(CP33=$G33,2,1),1),0))</f>
        <v>0</v>
      </c>
      <c r="CS33" s="48"/>
      <c r="CT33" s="49"/>
      <c r="CU33" s="50" t="str">
        <f t="shared" si="24"/>
        <v>X</v>
      </c>
      <c r="CV33" s="51" t="b">
        <f>IF(ISNUMBER(CS33), IF(CU33=$H33,IF(CS33=$F33,IF(CT33=$G33,2,1),1),0))</f>
        <v>0</v>
      </c>
      <c r="CW33" s="48"/>
      <c r="CX33" s="49"/>
      <c r="CY33" s="50" t="str">
        <f t="shared" si="25"/>
        <v>X</v>
      </c>
      <c r="CZ33" s="51" t="b">
        <f>IF(ISNUMBER(CW33), IF(CY33=$H33,IF(CW33=$F33,IF(CX33=$G33,2,1),1),0))</f>
        <v>0</v>
      </c>
      <c r="DA33" s="48"/>
      <c r="DB33" s="49"/>
      <c r="DC33" s="50" t="str">
        <f t="shared" si="26"/>
        <v>X</v>
      </c>
      <c r="DD33" s="51" t="b">
        <f>IF(ISNUMBER(DA33), IF(DC33=$H33,IF(DA33=$F33,IF(DB33=$G33,2,1),1),0))</f>
        <v>0</v>
      </c>
      <c r="DE33" s="48"/>
      <c r="DF33" s="49"/>
      <c r="DG33" s="50" t="str">
        <f t="shared" si="27"/>
        <v>X</v>
      </c>
      <c r="DH33" s="51" t="b">
        <f>IF(ISNUMBER(DE33), IF(DG33=$H33,IF(DE33=$F33,IF(DF33=$G33,2,1),1),0))</f>
        <v>0</v>
      </c>
      <c r="DI33" s="48"/>
      <c r="DJ33" s="49"/>
      <c r="DK33" s="50" t="str">
        <f t="shared" si="28"/>
        <v>X</v>
      </c>
      <c r="DL33" s="51" t="b">
        <f>IF(ISNUMBER(DI33), IF(DK33=$H33,IF(DI33=$F33,IF(DJ33=$G33,2,1),1),0))</f>
        <v>0</v>
      </c>
      <c r="DM33" s="48"/>
      <c r="DN33" s="49"/>
      <c r="DO33" s="50" t="str">
        <f t="shared" si="29"/>
        <v>X</v>
      </c>
      <c r="DP33" s="51" t="b">
        <f>IF(ISNUMBER(DM33), IF(DO33=$H33,IF(DM33=$F33,IF(DN33=$G33,2,1),1),0))</f>
        <v>0</v>
      </c>
    </row>
    <row r="34" spans="1:120" ht="13" customHeight="1" thickBot="1">
      <c r="A34" s="41"/>
      <c r="B34" s="42"/>
      <c r="C34" s="43"/>
      <c r="D34" s="44" t="s">
        <v>143</v>
      </c>
      <c r="E34" s="33">
        <f t="shared" si="0"/>
        <v>0</v>
      </c>
      <c r="F34" s="45"/>
      <c r="G34" s="46"/>
      <c r="H34" s="47" t="b">
        <f t="shared" si="1"/>
        <v>0</v>
      </c>
      <c r="I34" s="48"/>
      <c r="J34" s="49"/>
      <c r="K34" s="50" t="str">
        <f t="shared" si="2"/>
        <v>X</v>
      </c>
      <c r="L34" s="51" t="b">
        <f>IF(ISNUMBER(I34), IF(K34=$H34,IF(I34=$F34,IF(J34=$G34,2,1),1),0))</f>
        <v>0</v>
      </c>
      <c r="M34" s="48"/>
      <c r="N34" s="49"/>
      <c r="O34" s="50" t="str">
        <f t="shared" si="3"/>
        <v>X</v>
      </c>
      <c r="P34" s="51" t="b">
        <f>IF(ISNUMBER(M34), IF(O34=$H34,IF(M34=$F34,IF(N34=$G34,2,1),1),0))</f>
        <v>0</v>
      </c>
      <c r="Q34" s="48"/>
      <c r="R34" s="49"/>
      <c r="S34" s="50" t="str">
        <f t="shared" si="4"/>
        <v>X</v>
      </c>
      <c r="T34" s="51" t="b">
        <f>IF(ISNUMBER(Q34), IF(S34=$H34,IF(Q34=$F34,IF(R34=$G34,2,1),1),0))</f>
        <v>0</v>
      </c>
      <c r="U34" s="48"/>
      <c r="V34" s="49"/>
      <c r="W34" s="50" t="str">
        <f t="shared" si="5"/>
        <v>X</v>
      </c>
      <c r="X34" s="51" t="b">
        <f>IF(ISNUMBER(U34), IF(W34=$H34,IF(U34=$F34,IF(V34=$G34,2,1),1),0))</f>
        <v>0</v>
      </c>
      <c r="Y34" s="48"/>
      <c r="Z34" s="49"/>
      <c r="AA34" s="50" t="str">
        <f t="shared" si="6"/>
        <v>X</v>
      </c>
      <c r="AB34" s="51" t="b">
        <f>IF(ISNUMBER(Y34), IF(AA34=$H34,IF(Y34=$F34,IF(Z34=$G34,2,1),1),0))</f>
        <v>0</v>
      </c>
      <c r="AC34" s="48"/>
      <c r="AD34" s="49"/>
      <c r="AE34" s="50" t="str">
        <f t="shared" si="7"/>
        <v>X</v>
      </c>
      <c r="AF34" s="51" t="b">
        <f>IF(ISNUMBER(AC34), IF(AE34=$H34,IF(AC34=$F34,IF(AD34=$G34,2,1),1),0))</f>
        <v>0</v>
      </c>
      <c r="AG34" s="48"/>
      <c r="AH34" s="49"/>
      <c r="AI34" s="50" t="str">
        <f t="shared" si="8"/>
        <v>X</v>
      </c>
      <c r="AJ34" s="51" t="b">
        <f>IF(ISNUMBER(AG34), IF(AI34=$H34,IF(AG34=$F34,IF(AH34=$G34,2,1),1),0))</f>
        <v>0</v>
      </c>
      <c r="AK34" s="48"/>
      <c r="AL34" s="49"/>
      <c r="AM34" s="50" t="str">
        <f t="shared" si="9"/>
        <v>X</v>
      </c>
      <c r="AN34" s="51" t="b">
        <f>IF(ISNUMBER(AK34), IF(AM34=$H34,IF(AK34=$F34,IF(AL34=$G34,2,1),1),0))</f>
        <v>0</v>
      </c>
      <c r="AO34" s="48"/>
      <c r="AP34" s="49"/>
      <c r="AQ34" s="50" t="str">
        <f t="shared" si="10"/>
        <v>X</v>
      </c>
      <c r="AR34" s="51" t="b">
        <f>IF(ISNUMBER(AO34), IF(AQ34=$H34,IF(AO34=$F34,IF(AP34=$G34,2,1),1),0))</f>
        <v>0</v>
      </c>
      <c r="AS34" s="48"/>
      <c r="AT34" s="49"/>
      <c r="AU34" s="50" t="str">
        <f t="shared" si="11"/>
        <v>X</v>
      </c>
      <c r="AV34" s="51" t="b">
        <f>IF(ISNUMBER(AS34), IF(AU34=$H34,IF(AS34=$F34,IF(AT34=$G34,2,1),1),0))</f>
        <v>0</v>
      </c>
      <c r="AW34" s="48"/>
      <c r="AX34" s="49"/>
      <c r="AY34" s="50" t="str">
        <f t="shared" si="12"/>
        <v>X</v>
      </c>
      <c r="AZ34" s="51" t="b">
        <f>IF(ISNUMBER(AW34), IF(AY34=$H34,IF(AW34=$F34,IF(AX34=$G34,2,1),1),0))</f>
        <v>0</v>
      </c>
      <c r="BA34" s="48"/>
      <c r="BB34" s="49"/>
      <c r="BC34" s="50" t="str">
        <f t="shared" si="13"/>
        <v>X</v>
      </c>
      <c r="BD34" s="51" t="b">
        <f>IF(ISNUMBER(BA34), IF(BC34=$H34,IF(BA34=$F34,IF(BB34=$G34,2,1),1),0))</f>
        <v>0</v>
      </c>
      <c r="BE34" s="48"/>
      <c r="BF34" s="49"/>
      <c r="BG34" s="50" t="str">
        <f t="shared" si="14"/>
        <v>X</v>
      </c>
      <c r="BH34" s="51" t="b">
        <f>IF(ISNUMBER(BE34), IF(BG34=$H34,IF(BE34=$F34,IF(BF34=$G34,2,1),1),0))</f>
        <v>0</v>
      </c>
      <c r="BI34" s="48"/>
      <c r="BJ34" s="49"/>
      <c r="BK34" s="50" t="str">
        <f t="shared" si="15"/>
        <v>X</v>
      </c>
      <c r="BL34" s="51" t="b">
        <f>IF(ISNUMBER(BI34), IF(BK34=$H34,IF(BI34=$F34,IF(BJ34=$G34,2,1),1),0))</f>
        <v>0</v>
      </c>
      <c r="BM34" s="48"/>
      <c r="BN34" s="49"/>
      <c r="BO34" s="50" t="str">
        <f t="shared" si="16"/>
        <v>X</v>
      </c>
      <c r="BP34" s="51" t="b">
        <f>IF(ISNUMBER(BM34), IF(BO34=$H34,IF(BM34=$F34,IF(BN34=$G34,2,1),1),0))</f>
        <v>0</v>
      </c>
      <c r="BQ34" s="48"/>
      <c r="BR34" s="49"/>
      <c r="BS34" s="50" t="str">
        <f t="shared" si="17"/>
        <v>X</v>
      </c>
      <c r="BT34" s="51" t="b">
        <f>IF(ISNUMBER(BQ34), IF(BS34=$H34,IF(BQ34=$F34,IF(BR34=$G34,2,1),1),0))</f>
        <v>0</v>
      </c>
      <c r="BU34" s="48"/>
      <c r="BV34" s="49"/>
      <c r="BW34" s="50" t="str">
        <f t="shared" si="18"/>
        <v>X</v>
      </c>
      <c r="BX34" s="51" t="b">
        <f>IF(ISNUMBER(BU34), IF(BW34=$H34,IF(BU34=$F34,IF(BV34=$G34,2,1),1),0))</f>
        <v>0</v>
      </c>
      <c r="BY34" s="48"/>
      <c r="BZ34" s="49"/>
      <c r="CA34" s="50" t="str">
        <f t="shared" si="19"/>
        <v>X</v>
      </c>
      <c r="CB34" s="51" t="b">
        <f>IF(ISNUMBER(BY34), IF(CA34=$H34,IF(BY34=$F34,IF(BZ34=$G34,2,1),1),0))</f>
        <v>0</v>
      </c>
      <c r="CC34" s="48"/>
      <c r="CD34" s="49"/>
      <c r="CE34" s="50" t="str">
        <f t="shared" si="20"/>
        <v>X</v>
      </c>
      <c r="CF34" s="51" t="b">
        <f>IF(ISNUMBER(CC34), IF(CE34=$H34,IF(CC34=$F34,IF(CD34=$G34,2,1),1),0))</f>
        <v>0</v>
      </c>
      <c r="CG34" s="48"/>
      <c r="CH34" s="49"/>
      <c r="CI34" s="50" t="str">
        <f t="shared" si="21"/>
        <v>X</v>
      </c>
      <c r="CJ34" s="51" t="b">
        <f>IF(ISNUMBER(CG34), IF(CI34=$H34,IF(CG34=$F34,IF(CH34=$G34,2,1),1),0))</f>
        <v>0</v>
      </c>
      <c r="CK34" s="48"/>
      <c r="CL34" s="49"/>
      <c r="CM34" s="50" t="str">
        <f t="shared" si="22"/>
        <v>X</v>
      </c>
      <c r="CN34" s="51" t="b">
        <f>IF(ISNUMBER(CK34), IF(CM34=$H34,IF(CK34=$F34,IF(CL34=$G34,2,1),1),0))</f>
        <v>0</v>
      </c>
      <c r="CO34" s="48"/>
      <c r="CP34" s="49"/>
      <c r="CQ34" s="50" t="str">
        <f t="shared" si="23"/>
        <v>X</v>
      </c>
      <c r="CR34" s="51" t="b">
        <f>IF(ISNUMBER(CO34), IF(CQ34=$H34,IF(CO34=$F34,IF(CP34=$G34,2,1),1),0))</f>
        <v>0</v>
      </c>
      <c r="CS34" s="48"/>
      <c r="CT34" s="49"/>
      <c r="CU34" s="50" t="str">
        <f t="shared" si="24"/>
        <v>X</v>
      </c>
      <c r="CV34" s="51" t="b">
        <f>IF(ISNUMBER(CS34), IF(CU34=$H34,IF(CS34=$F34,IF(CT34=$G34,2,1),1),0))</f>
        <v>0</v>
      </c>
      <c r="CW34" s="48"/>
      <c r="CX34" s="49"/>
      <c r="CY34" s="50" t="str">
        <f t="shared" si="25"/>
        <v>X</v>
      </c>
      <c r="CZ34" s="51" t="b">
        <f>IF(ISNUMBER(CW34), IF(CY34=$H34,IF(CW34=$F34,IF(CX34=$G34,2,1),1),0))</f>
        <v>0</v>
      </c>
      <c r="DA34" s="48"/>
      <c r="DB34" s="49"/>
      <c r="DC34" s="50" t="str">
        <f t="shared" si="26"/>
        <v>X</v>
      </c>
      <c r="DD34" s="51" t="b">
        <f>IF(ISNUMBER(DA34), IF(DC34=$H34,IF(DA34=$F34,IF(DB34=$G34,2,1),1),0))</f>
        <v>0</v>
      </c>
      <c r="DE34" s="48"/>
      <c r="DF34" s="49"/>
      <c r="DG34" s="50" t="str">
        <f t="shared" si="27"/>
        <v>X</v>
      </c>
      <c r="DH34" s="51" t="b">
        <f>IF(ISNUMBER(DE34), IF(DG34=$H34,IF(DE34=$F34,IF(DF34=$G34,2,1),1),0))</f>
        <v>0</v>
      </c>
      <c r="DI34" s="48"/>
      <c r="DJ34" s="49"/>
      <c r="DK34" s="50" t="str">
        <f t="shared" si="28"/>
        <v>X</v>
      </c>
      <c r="DL34" s="51" t="b">
        <f>IF(ISNUMBER(DI34), IF(DK34=$H34,IF(DI34=$F34,IF(DJ34=$G34,2,1),1),0))</f>
        <v>0</v>
      </c>
      <c r="DM34" s="48"/>
      <c r="DN34" s="49"/>
      <c r="DO34" s="50" t="str">
        <f t="shared" si="29"/>
        <v>X</v>
      </c>
      <c r="DP34" s="51" t="b">
        <f>IF(ISNUMBER(DM34), IF(DO34=$H34,IF(DM34=$F34,IF(DN34=$G34,2,1),1),0))</f>
        <v>0</v>
      </c>
    </row>
    <row r="35" spans="1:120" s="25" customFormat="1" ht="13" customHeight="1" thickBot="1">
      <c r="A35" s="52"/>
      <c r="B35" s="53"/>
      <c r="C35" s="54"/>
      <c r="D35" s="55" t="s">
        <v>144</v>
      </c>
      <c r="E35" s="33">
        <f t="shared" si="0"/>
        <v>0</v>
      </c>
      <c r="F35" s="56"/>
      <c r="G35" s="56"/>
      <c r="H35" s="57" t="b">
        <f t="shared" si="1"/>
        <v>0</v>
      </c>
      <c r="I35" s="58">
        <f>SUM(I32:I34)</f>
        <v>0</v>
      </c>
      <c r="J35" s="59">
        <f>SUM(J32:J34)</f>
        <v>0</v>
      </c>
      <c r="K35" s="59" t="str">
        <f t="shared" si="2"/>
        <v>X</v>
      </c>
      <c r="L35" s="60">
        <f>IF($H35=K35,SUM(L32:L34)+1,SUM(L32:L34))</f>
        <v>0</v>
      </c>
      <c r="M35" s="58">
        <f>SUM(M32:M34)</f>
        <v>0</v>
      </c>
      <c r="N35" s="59">
        <f>SUM(N32:N34)</f>
        <v>0</v>
      </c>
      <c r="O35" s="59" t="str">
        <f t="shared" si="3"/>
        <v>X</v>
      </c>
      <c r="P35" s="60">
        <f>IF($H35=O35,SUM(P32:P34)+1,SUM(P32:P34))</f>
        <v>0</v>
      </c>
      <c r="Q35" s="58">
        <f>SUM(Q32:Q34)</f>
        <v>0</v>
      </c>
      <c r="R35" s="59">
        <f>SUM(R32:R34)</f>
        <v>0</v>
      </c>
      <c r="S35" s="59" t="str">
        <f t="shared" si="4"/>
        <v>X</v>
      </c>
      <c r="T35" s="60">
        <f>IF($H35=S35,SUM(T32:T34)+1,SUM(T32:T34))</f>
        <v>0</v>
      </c>
      <c r="U35" s="58">
        <f>SUM(U32:U34)</f>
        <v>0</v>
      </c>
      <c r="V35" s="59">
        <f>SUM(V32:V34)</f>
        <v>0</v>
      </c>
      <c r="W35" s="59" t="str">
        <f t="shared" si="5"/>
        <v>X</v>
      </c>
      <c r="X35" s="60">
        <f>IF($H35=W35,SUM(X32:X34)+1,SUM(X32:X34))</f>
        <v>0</v>
      </c>
      <c r="Y35" s="58">
        <f>SUM(Y32:Y34)</f>
        <v>0</v>
      </c>
      <c r="Z35" s="59">
        <f>SUM(Z32:Z34)</f>
        <v>0</v>
      </c>
      <c r="AA35" s="59" t="str">
        <f t="shared" si="6"/>
        <v>X</v>
      </c>
      <c r="AB35" s="60">
        <f>IF($H35=AA35,SUM(AB32:AB34)+1,SUM(AB32:AB34))</f>
        <v>0</v>
      </c>
      <c r="AC35" s="58">
        <f>SUM(AC32:AC34)</f>
        <v>0</v>
      </c>
      <c r="AD35" s="59">
        <f>SUM(AD32:AD34)</f>
        <v>0</v>
      </c>
      <c r="AE35" s="59" t="str">
        <f t="shared" si="7"/>
        <v>X</v>
      </c>
      <c r="AF35" s="60">
        <f>IF($H35=AE35,SUM(AF32:AF34)+1,SUM(AF32:AF34))</f>
        <v>0</v>
      </c>
      <c r="AG35" s="58">
        <f>SUM(AG32:AG34)</f>
        <v>0</v>
      </c>
      <c r="AH35" s="59">
        <f>SUM(AH32:AH34)</f>
        <v>0</v>
      </c>
      <c r="AI35" s="59" t="str">
        <f t="shared" si="8"/>
        <v>X</v>
      </c>
      <c r="AJ35" s="60">
        <f>IF($H35=AI35,SUM(AJ32:AJ34)+1,SUM(AJ32:AJ34))</f>
        <v>0</v>
      </c>
      <c r="AK35" s="58">
        <f>SUM(AK32:AK34)</f>
        <v>0</v>
      </c>
      <c r="AL35" s="59">
        <f>SUM(AL32:AL34)</f>
        <v>0</v>
      </c>
      <c r="AM35" s="59" t="str">
        <f t="shared" si="9"/>
        <v>X</v>
      </c>
      <c r="AN35" s="60">
        <f>IF($H35=AM35,SUM(AN32:AN34)+1,SUM(AN32:AN34))</f>
        <v>0</v>
      </c>
      <c r="AO35" s="58">
        <f>SUM(AO32:AO34)</f>
        <v>0</v>
      </c>
      <c r="AP35" s="59">
        <f>SUM(AP32:AP34)</f>
        <v>0</v>
      </c>
      <c r="AQ35" s="59" t="str">
        <f t="shared" si="10"/>
        <v>X</v>
      </c>
      <c r="AR35" s="60">
        <f>IF($H35=AQ35,SUM(AR32:AR34)+1,SUM(AR32:AR34))</f>
        <v>0</v>
      </c>
      <c r="AS35" s="58">
        <f>SUM(AS32:AS34)</f>
        <v>0</v>
      </c>
      <c r="AT35" s="59">
        <f>SUM(AT32:AT34)</f>
        <v>0</v>
      </c>
      <c r="AU35" s="59" t="str">
        <f t="shared" si="11"/>
        <v>X</v>
      </c>
      <c r="AV35" s="60">
        <f>IF($H35=AU35,SUM(AV32:AV34)+1,SUM(AV32:AV34))</f>
        <v>0</v>
      </c>
      <c r="AW35" s="58">
        <f>SUM(AW32:AW34)</f>
        <v>0</v>
      </c>
      <c r="AX35" s="59">
        <f>SUM(AX32:AX34)</f>
        <v>0</v>
      </c>
      <c r="AY35" s="59" t="str">
        <f t="shared" si="12"/>
        <v>X</v>
      </c>
      <c r="AZ35" s="60">
        <f>IF($H35=AY35,SUM(AZ32:AZ34)+1,SUM(AZ32:AZ34))</f>
        <v>0</v>
      </c>
      <c r="BA35" s="58">
        <f>SUM(BA32:BA34)</f>
        <v>0</v>
      </c>
      <c r="BB35" s="59">
        <f>SUM(BB32:BB34)</f>
        <v>0</v>
      </c>
      <c r="BC35" s="59" t="str">
        <f t="shared" si="13"/>
        <v>X</v>
      </c>
      <c r="BD35" s="60">
        <f>IF($H35=BC35,SUM(BD32:BD34)+1,SUM(BD32:BD34))</f>
        <v>0</v>
      </c>
      <c r="BE35" s="58">
        <f>SUM(BE32:BE34)</f>
        <v>0</v>
      </c>
      <c r="BF35" s="59">
        <f>SUM(BF32:BF34)</f>
        <v>0</v>
      </c>
      <c r="BG35" s="59" t="str">
        <f t="shared" si="14"/>
        <v>X</v>
      </c>
      <c r="BH35" s="60">
        <f>IF($H35=BG35,SUM(BH32:BH34)+1,SUM(BH32:BH34))</f>
        <v>0</v>
      </c>
      <c r="BI35" s="58">
        <f>SUM(BI32:BI34)</f>
        <v>0</v>
      </c>
      <c r="BJ35" s="59">
        <f>SUM(BJ32:BJ34)</f>
        <v>0</v>
      </c>
      <c r="BK35" s="59" t="str">
        <f t="shared" si="15"/>
        <v>X</v>
      </c>
      <c r="BL35" s="60">
        <f>IF($H35=BK35,SUM(BL32:BL34)+1,SUM(BL32:BL34))</f>
        <v>0</v>
      </c>
      <c r="BM35" s="58">
        <f>SUM(BM32:BM34)</f>
        <v>0</v>
      </c>
      <c r="BN35" s="59">
        <f>SUM(BN32:BN34)</f>
        <v>0</v>
      </c>
      <c r="BO35" s="59" t="str">
        <f t="shared" si="16"/>
        <v>X</v>
      </c>
      <c r="BP35" s="60">
        <f>IF($H35=BO35,SUM(BP32:BP34)+1,SUM(BP32:BP34))</f>
        <v>0</v>
      </c>
      <c r="BQ35" s="58">
        <f>SUM(BQ32:BQ34)</f>
        <v>0</v>
      </c>
      <c r="BR35" s="59">
        <f>SUM(BR32:BR34)</f>
        <v>0</v>
      </c>
      <c r="BS35" s="59" t="str">
        <f t="shared" si="17"/>
        <v>X</v>
      </c>
      <c r="BT35" s="60">
        <f>IF($H35=BS35,SUM(BT32:BT34)+1,SUM(BT32:BT34))</f>
        <v>0</v>
      </c>
      <c r="BU35" s="58">
        <f>SUM(BU32:BU34)</f>
        <v>0</v>
      </c>
      <c r="BV35" s="59">
        <f>SUM(BV32:BV34)</f>
        <v>0</v>
      </c>
      <c r="BW35" s="59" t="str">
        <f t="shared" si="18"/>
        <v>X</v>
      </c>
      <c r="BX35" s="60">
        <f>IF($H35=BW35,SUM(BX32:BX34)+1,SUM(BX32:BX34))</f>
        <v>0</v>
      </c>
      <c r="BY35" s="58">
        <f>SUM(BY32:BY34)</f>
        <v>0</v>
      </c>
      <c r="BZ35" s="59">
        <f>SUM(BZ32:BZ34)</f>
        <v>0</v>
      </c>
      <c r="CA35" s="59" t="str">
        <f t="shared" si="19"/>
        <v>X</v>
      </c>
      <c r="CB35" s="60">
        <f>IF($H35=CA35,SUM(CB32:CB34)+1,SUM(CB32:CB34))</f>
        <v>0</v>
      </c>
      <c r="CC35" s="58">
        <f>SUM(CC32:CC34)</f>
        <v>0</v>
      </c>
      <c r="CD35" s="59">
        <f>SUM(CD32:CD34)</f>
        <v>0</v>
      </c>
      <c r="CE35" s="59" t="str">
        <f t="shared" si="20"/>
        <v>X</v>
      </c>
      <c r="CF35" s="60">
        <f>IF($H35=CE35,SUM(CF32:CF34)+1,SUM(CF32:CF34))</f>
        <v>0</v>
      </c>
      <c r="CG35" s="58">
        <f>SUM(CG32:CG34)</f>
        <v>0</v>
      </c>
      <c r="CH35" s="59">
        <f>SUM(CH32:CH34)</f>
        <v>0</v>
      </c>
      <c r="CI35" s="59" t="str">
        <f t="shared" si="21"/>
        <v>X</v>
      </c>
      <c r="CJ35" s="60">
        <f>IF($H35=CI35,SUM(CJ32:CJ34)+1,SUM(CJ32:CJ34))</f>
        <v>0</v>
      </c>
      <c r="CK35" s="58">
        <f>SUM(CK32:CK34)</f>
        <v>0</v>
      </c>
      <c r="CL35" s="59">
        <f>SUM(CL32:CL34)</f>
        <v>0</v>
      </c>
      <c r="CM35" s="59" t="str">
        <f t="shared" si="22"/>
        <v>X</v>
      </c>
      <c r="CN35" s="60">
        <f>IF($H35=CM35,SUM(CN32:CN34)+1,SUM(CN32:CN34))</f>
        <v>0</v>
      </c>
      <c r="CO35" s="58">
        <f>SUM(CO32:CO34)</f>
        <v>0</v>
      </c>
      <c r="CP35" s="59">
        <f>SUM(CP32:CP34)</f>
        <v>0</v>
      </c>
      <c r="CQ35" s="59" t="str">
        <f t="shared" si="23"/>
        <v>X</v>
      </c>
      <c r="CR35" s="60">
        <f>IF($H35=CQ35,SUM(CR32:CR34)+1,SUM(CR32:CR34))</f>
        <v>0</v>
      </c>
      <c r="CS35" s="58">
        <f>SUM(CS32:CS34)</f>
        <v>0</v>
      </c>
      <c r="CT35" s="59">
        <f>SUM(CT32:CT34)</f>
        <v>0</v>
      </c>
      <c r="CU35" s="59" t="str">
        <f t="shared" si="24"/>
        <v>X</v>
      </c>
      <c r="CV35" s="60">
        <f>IF($H35=CU35,SUM(CV32:CV34)+1,SUM(CV32:CV34))</f>
        <v>0</v>
      </c>
      <c r="CW35" s="58">
        <f>SUM(CW32:CW34)</f>
        <v>0</v>
      </c>
      <c r="CX35" s="59">
        <f>SUM(CX32:CX34)</f>
        <v>0</v>
      </c>
      <c r="CY35" s="59" t="str">
        <f t="shared" si="25"/>
        <v>X</v>
      </c>
      <c r="CZ35" s="60">
        <f>IF($H35=CY35,SUM(CZ32:CZ34)+1,SUM(CZ32:CZ34))</f>
        <v>0</v>
      </c>
      <c r="DA35" s="58">
        <f>SUM(DA32:DA34)</f>
        <v>0</v>
      </c>
      <c r="DB35" s="59">
        <f>SUM(DB32:DB34)</f>
        <v>0</v>
      </c>
      <c r="DC35" s="59" t="str">
        <f t="shared" si="26"/>
        <v>X</v>
      </c>
      <c r="DD35" s="60">
        <f>IF($H35=DC35,SUM(DD32:DD34)+1,SUM(DD32:DD34))</f>
        <v>0</v>
      </c>
      <c r="DE35" s="58">
        <f>SUM(DE32:DE34)</f>
        <v>0</v>
      </c>
      <c r="DF35" s="59">
        <f>SUM(DF32:DF34)</f>
        <v>0</v>
      </c>
      <c r="DG35" s="59" t="str">
        <f t="shared" si="27"/>
        <v>X</v>
      </c>
      <c r="DH35" s="60">
        <f>IF($H35=DG35,SUM(DH32:DH34)+1,SUM(DH32:DH34))</f>
        <v>0</v>
      </c>
      <c r="DI35" s="58">
        <f>SUM(DI32:DI34)</f>
        <v>0</v>
      </c>
      <c r="DJ35" s="59">
        <f>SUM(DJ32:DJ34)</f>
        <v>0</v>
      </c>
      <c r="DK35" s="59" t="str">
        <f t="shared" si="28"/>
        <v>X</v>
      </c>
      <c r="DL35" s="60">
        <f>IF($H35=DK35,SUM(DL32:DL34)+1,SUM(DL32:DL34))</f>
        <v>0</v>
      </c>
      <c r="DM35" s="58">
        <f>SUM(DM32:DM34)</f>
        <v>0</v>
      </c>
      <c r="DN35" s="59">
        <f>SUM(DN32:DN34)</f>
        <v>0</v>
      </c>
      <c r="DO35" s="59" t="str">
        <f t="shared" si="29"/>
        <v>X</v>
      </c>
      <c r="DP35" s="60">
        <f>IF($H35=DO35,SUM(DP32:DP34)+1,SUM(DP32:DP34))</f>
        <v>0</v>
      </c>
    </row>
    <row r="36" spans="1:120" ht="13" customHeight="1" thickBot="1">
      <c r="A36" s="113">
        <f>A32+3</f>
        <v>43442</v>
      </c>
      <c r="B36" s="30" t="s">
        <v>145</v>
      </c>
      <c r="C36" s="31"/>
      <c r="D36" s="32" t="s">
        <v>141</v>
      </c>
      <c r="E36" s="33">
        <f t="shared" ref="E36:E67" si="30">L36+P36+T36+X36+AB36+AF36+AJ36+AN36+AR36+AV36+AZ36+BD36+BH36+BL36+BP36+BT36+BX36+CB36+CF36+CJ36+CN36+CR36+CV36+CZ36</f>
        <v>0</v>
      </c>
      <c r="F36" s="34"/>
      <c r="G36" s="35"/>
      <c r="H36" s="36" t="b">
        <f t="shared" ref="H36:H67" si="31">IF(ISNUMBER(F36),IF(F36&gt;G36,"1",IF(F36&lt;G36,"2","X")))</f>
        <v>0</v>
      </c>
      <c r="I36" s="34"/>
      <c r="J36" s="35"/>
      <c r="K36" s="39" t="str">
        <f t="shared" ref="K36:K67" si="32">IF(I36&gt;J36,"1",IF(I36&lt;J36,"2","X"))</f>
        <v>X</v>
      </c>
      <c r="L36" s="40" t="b">
        <f>IF(ISNUMBER(I36), IF(K36=$H36,IF(I36=$F36,IF(J36=$G36,IF($F36-$G36&gt;=3,6,IF($G36-$F36&gt;=3,6,IF($F36+$G36&gt;=4,6,5))),3),3),0))</f>
        <v>0</v>
      </c>
      <c r="M36" s="34"/>
      <c r="N36" s="35"/>
      <c r="O36" s="39" t="str">
        <f t="shared" ref="O36:O67" si="33">IF(M36&gt;N36,"1",IF(M36&lt;N36,"2","X"))</f>
        <v>X</v>
      </c>
      <c r="P36" s="40" t="b">
        <f>IF(ISNUMBER(M36), IF(O36=$H36,IF(M36=$F36,IF(N36=$G36,IF($F36-$G36&gt;=3,6,IF($G36-$F36&gt;=3,6,IF($F36+$G36&gt;=4,6,5))),3),3),0))</f>
        <v>0</v>
      </c>
      <c r="Q36" s="34"/>
      <c r="R36" s="35"/>
      <c r="S36" s="39" t="str">
        <f t="shared" ref="S36:S67" si="34">IF(Q36&gt;R36,"1",IF(Q36&lt;R36,"2","X"))</f>
        <v>X</v>
      </c>
      <c r="T36" s="40" t="b">
        <f>IF(ISNUMBER(Q36), IF(S36=$H36,IF(Q36=$F36,IF(R36=$G36,IF($F36-$G36&gt;=3,6,IF($G36-$F36&gt;=3,6,IF($F36+$G36&gt;=4,6,5))),3),3),0))</f>
        <v>0</v>
      </c>
      <c r="U36" s="34"/>
      <c r="V36" s="35"/>
      <c r="W36" s="39" t="str">
        <f t="shared" ref="W36:W67" si="35">IF(U36&gt;V36,"1",IF(U36&lt;V36,"2","X"))</f>
        <v>X</v>
      </c>
      <c r="X36" s="40" t="b">
        <f>IF(ISNUMBER(U36), IF(W36=$H36,IF(U36=$F36,IF(V36=$G36,IF($F36-$G36&gt;=3,6,IF($G36-$F36&gt;=3,6,IF($F36+$G36&gt;=4,6,5))),3),3),0))</f>
        <v>0</v>
      </c>
      <c r="Y36" s="34"/>
      <c r="Z36" s="35"/>
      <c r="AA36" s="39" t="str">
        <f t="shared" ref="AA36:AA67" si="36">IF(Y36&gt;Z36,"1",IF(Y36&lt;Z36,"2","X"))</f>
        <v>X</v>
      </c>
      <c r="AB36" s="40" t="b">
        <f>IF(ISNUMBER(Y36), IF(AA36=$H36,IF(Y36=$F36,IF(Z36=$G36,IF($F36-$G36&gt;=3,6,IF($G36-$F36&gt;=3,6,IF($F36+$G36&gt;=4,6,5))),3),3),0))</f>
        <v>0</v>
      </c>
      <c r="AC36" s="34"/>
      <c r="AD36" s="35"/>
      <c r="AE36" s="39" t="str">
        <f t="shared" ref="AE36:AE67" si="37">IF(AC36&gt;AD36,"1",IF(AC36&lt;AD36,"2","X"))</f>
        <v>X</v>
      </c>
      <c r="AF36" s="40" t="b">
        <f>IF(ISNUMBER(AC36), IF(AE36=$H36,IF(AC36=$F36,IF(AD36=$G36,IF($F36-$G36&gt;=3,6,IF($G36-$F36&gt;=3,6,IF($F36+$G36&gt;=4,6,5))),3),3),0))</f>
        <v>0</v>
      </c>
      <c r="AG36" s="34"/>
      <c r="AH36" s="35"/>
      <c r="AI36" s="39" t="str">
        <f t="shared" ref="AI36:AI67" si="38">IF(AG36&gt;AH36,"1",IF(AG36&lt;AH36,"2","X"))</f>
        <v>X</v>
      </c>
      <c r="AJ36" s="40" t="b">
        <f>IF(ISNUMBER(AG36), IF(AI36=$H36,IF(AG36=$F36,IF(AH36=$G36,IF($F36-$G36&gt;=3,6,IF($G36-$F36&gt;=3,6,IF($F36+$G36&gt;=4,6,5))),3),3),0))</f>
        <v>0</v>
      </c>
      <c r="AK36" s="34"/>
      <c r="AL36" s="35"/>
      <c r="AM36" s="39" t="str">
        <f t="shared" ref="AM36:AM67" si="39">IF(AK36&gt;AL36,"1",IF(AK36&lt;AL36,"2","X"))</f>
        <v>X</v>
      </c>
      <c r="AN36" s="40" t="b">
        <f>IF(ISNUMBER(AK36), IF(AM36=$H36,IF(AK36=$F36,IF(AL36=$G36,IF($F36-$G36&gt;=3,6,IF($G36-$F36&gt;=3,6,IF($F36+$G36&gt;=4,6,5))),3),3),0))</f>
        <v>0</v>
      </c>
      <c r="AO36" s="34"/>
      <c r="AP36" s="35"/>
      <c r="AQ36" s="39" t="str">
        <f t="shared" ref="AQ36:AQ67" si="40">IF(AO36&gt;AP36,"1",IF(AO36&lt;AP36,"2","X"))</f>
        <v>X</v>
      </c>
      <c r="AR36" s="40" t="b">
        <f>IF(ISNUMBER(AO36), IF(AQ36=$H36,IF(AO36=$F36,IF(AP36=$G36,IF($F36-$G36&gt;=3,6,IF($G36-$F36&gt;=3,6,IF($F36+$G36&gt;=4,6,5))),3),3),0))</f>
        <v>0</v>
      </c>
      <c r="AS36" s="34"/>
      <c r="AT36" s="35"/>
      <c r="AU36" s="39" t="str">
        <f t="shared" ref="AU36:AU67" si="41">IF(AS36&gt;AT36,"1",IF(AS36&lt;AT36,"2","X"))</f>
        <v>X</v>
      </c>
      <c r="AV36" s="40" t="b">
        <f>IF(ISNUMBER(AS36), IF(AU36=$H36,IF(AS36=$F36,IF(AT36=$G36,IF($F36-$G36&gt;=3,6,IF($G36-$F36&gt;=3,6,IF($F36+$G36&gt;=4,6,5))),3),3),0))</f>
        <v>0</v>
      </c>
      <c r="AW36" s="34"/>
      <c r="AX36" s="35"/>
      <c r="AY36" s="39" t="str">
        <f t="shared" ref="AY36:AY67" si="42">IF(AW36&gt;AX36,"1",IF(AW36&lt;AX36,"2","X"))</f>
        <v>X</v>
      </c>
      <c r="AZ36" s="40" t="b">
        <f>IF(ISNUMBER(AW36), IF(AY36=$H36,IF(AW36=$F36,IF(AX36=$G36,IF($F36-$G36&gt;=3,6,IF($G36-$F36&gt;=3,6,IF($F36+$G36&gt;=4,6,5))),3),3),0))</f>
        <v>0</v>
      </c>
      <c r="BA36" s="34"/>
      <c r="BB36" s="35"/>
      <c r="BC36" s="39" t="str">
        <f t="shared" ref="BC36:BC67" si="43">IF(BA36&gt;BB36,"1",IF(BA36&lt;BB36,"2","X"))</f>
        <v>X</v>
      </c>
      <c r="BD36" s="40" t="b">
        <f>IF(ISNUMBER(BA36), IF(BC36=$H36,IF(BA36=$F36,IF(BB36=$G36,IF($F36-$G36&gt;=3,6,IF($G36-$F36&gt;=3,6,IF($F36+$G36&gt;=4,6,5))),3),3),0))</f>
        <v>0</v>
      </c>
      <c r="BE36" s="34"/>
      <c r="BF36" s="35"/>
      <c r="BG36" s="39" t="str">
        <f t="shared" ref="BG36:BG67" si="44">IF(BE36&gt;BF36,"1",IF(BE36&lt;BF36,"2","X"))</f>
        <v>X</v>
      </c>
      <c r="BH36" s="40" t="b">
        <f>IF(ISNUMBER(BE36), IF(BG36=$H36,IF(BE36=$F36,IF(BF36=$G36,IF($F36-$G36&gt;=3,6,IF($G36-$F36&gt;=3,6,IF($F36+$G36&gt;=4,6,5))),3),3),0))</f>
        <v>0</v>
      </c>
      <c r="BI36" s="34"/>
      <c r="BJ36" s="35"/>
      <c r="BK36" s="39" t="str">
        <f t="shared" ref="BK36:BK67" si="45">IF(BI36&gt;BJ36,"1",IF(BI36&lt;BJ36,"2","X"))</f>
        <v>X</v>
      </c>
      <c r="BL36" s="40" t="b">
        <f>IF(ISNUMBER(BI36), IF(BK36=$H36,IF(BI36=$F36,IF(BJ36=$G36,IF($F36-$G36&gt;=3,6,IF($G36-$F36&gt;=3,6,IF($F36+$G36&gt;=4,6,5))),3),3),0))</f>
        <v>0</v>
      </c>
      <c r="BM36" s="37"/>
      <c r="BN36" s="38"/>
      <c r="BO36" s="39" t="str">
        <f t="shared" ref="BO36:BO67" si="46">IF(BM36&gt;BN36,"1",IF(BM36&lt;BN36,"2","X"))</f>
        <v>X</v>
      </c>
      <c r="BP36" s="40" t="b">
        <f>IF(ISNUMBER(BM36), IF(BO36=$H36,IF(BM36=$F36,IF(BN36=$G36,IF($F36-$G36&gt;=3,6,IF($G36-$F36&gt;=3,6,IF($F36+$G36&gt;=4,6,5))),3),3),0))</f>
        <v>0</v>
      </c>
      <c r="BQ36" s="37"/>
      <c r="BR36" s="38"/>
      <c r="BS36" s="39" t="str">
        <f t="shared" ref="BS36:BS67" si="47">IF(BQ36&gt;BR36,"1",IF(BQ36&lt;BR36,"2","X"))</f>
        <v>X</v>
      </c>
      <c r="BT36" s="40" t="b">
        <f>IF(ISNUMBER(BQ36), IF(BS36=$H36,IF(BQ36=$F36,IF(BR36=$G36,IF($F36-$G36&gt;=3,6,IF($G36-$F36&gt;=3,6,IF($F36+$G36&gt;=4,6,5))),3),3),0))</f>
        <v>0</v>
      </c>
      <c r="BU36" s="34"/>
      <c r="BV36" s="35"/>
      <c r="BW36" s="39" t="str">
        <f t="shared" ref="BW36:BW67" si="48">IF(BU36&gt;BV36,"1",IF(BU36&lt;BV36,"2","X"))</f>
        <v>X</v>
      </c>
      <c r="BX36" s="40" t="b">
        <f>IF(ISNUMBER(BU36), IF(BW36=$H36,IF(BU36=$F36,IF(BV36=$G36,IF($F36-$G36&gt;=3,6,IF($G36-$F36&gt;=3,6,IF($F36+$G36&gt;=4,6,5))),3),3),0))</f>
        <v>0</v>
      </c>
      <c r="BY36" s="34"/>
      <c r="BZ36" s="35"/>
      <c r="CA36" s="39" t="str">
        <f t="shared" ref="CA36:CA67" si="49">IF(BY36&gt;BZ36,"1",IF(BY36&lt;BZ36,"2","X"))</f>
        <v>X</v>
      </c>
      <c r="CB36" s="40" t="b">
        <f>IF(ISNUMBER(BY36), IF(CA36=$H36,IF(BY36=$F36,IF(BZ36=$G36,IF($F36-$G36&gt;=3,6,IF($G36-$F36&gt;=3,6,IF($F36+$G36&gt;=4,6,5))),3),3),0))</f>
        <v>0</v>
      </c>
      <c r="CC36" s="34"/>
      <c r="CD36" s="35"/>
      <c r="CE36" s="39" t="str">
        <f t="shared" ref="CE36:CE67" si="50">IF(CC36&gt;CD36,"1",IF(CC36&lt;CD36,"2","X"))</f>
        <v>X</v>
      </c>
      <c r="CF36" s="40" t="b">
        <f>IF(ISNUMBER(CC36), IF(CE36=$H36,IF(CC36=$F36,IF(CD36=$G36,IF($F36-$G36&gt;=3,6,IF($G36-$F36&gt;=3,6,IF($F36+$G36&gt;=4,6,5))),3),3),0))</f>
        <v>0</v>
      </c>
      <c r="CG36" s="34"/>
      <c r="CH36" s="35"/>
      <c r="CI36" s="39" t="str">
        <f t="shared" ref="CI36:CI67" si="51">IF(CG36&gt;CH36,"1",IF(CG36&lt;CH36,"2","X"))</f>
        <v>X</v>
      </c>
      <c r="CJ36" s="40" t="b">
        <f>IF(ISNUMBER(CG36), IF(CI36=$H36,IF(CG36=$F36,IF(CH36=$G36,IF($F36-$G36&gt;=3,6,IF($G36-$F36&gt;=3,6,IF($F36+$G36&gt;=4,6,5))),3),3),0))</f>
        <v>0</v>
      </c>
      <c r="CK36" s="34"/>
      <c r="CL36" s="35"/>
      <c r="CM36" s="39" t="str">
        <f t="shared" ref="CM36:CM67" si="52">IF(CK36&gt;CL36,"1",IF(CK36&lt;CL36,"2","X"))</f>
        <v>X</v>
      </c>
      <c r="CN36" s="40" t="b">
        <f>IF(ISNUMBER(CK36), IF(CM36=$H36,IF(CK36=$F36,IF(CL36=$G36,IF($F36-$G36&gt;=3,6,IF($G36-$F36&gt;=3,6,IF($F36+$G36&gt;=4,6,5))),3),3),0))</f>
        <v>0</v>
      </c>
      <c r="CO36" s="34"/>
      <c r="CP36" s="35"/>
      <c r="CQ36" s="39" t="str">
        <f t="shared" ref="CQ36:CQ67" si="53">IF(CO36&gt;CP36,"1",IF(CO36&lt;CP36,"2","X"))</f>
        <v>X</v>
      </c>
      <c r="CR36" s="40" t="b">
        <f>IF(ISNUMBER(CO36), IF(CQ36=$H36,IF(CO36=$F36,IF(CP36=$G36,IF($F36-$G36&gt;=3,6,IF($G36-$F36&gt;=3,6,IF($F36+$G36&gt;=4,6,5))),3),3),0))</f>
        <v>0</v>
      </c>
      <c r="CS36" s="34"/>
      <c r="CT36" s="35"/>
      <c r="CU36" s="39" t="str">
        <f t="shared" ref="CU36:CU67" si="54">IF(CS36&gt;CT36,"1",IF(CS36&lt;CT36,"2","X"))</f>
        <v>X</v>
      </c>
      <c r="CV36" s="40" t="b">
        <f>IF(ISNUMBER(CS36), IF(CU36=$H36,IF(CS36=$F36,IF(CT36=$G36,IF($F36-$G36&gt;=3,6,IF($G36-$F36&gt;=3,6,IF($F36+$G36&gt;=4,6,5))),3),3),0))</f>
        <v>0</v>
      </c>
      <c r="CW36" s="34"/>
      <c r="CX36" s="35"/>
      <c r="CY36" s="39" t="str">
        <f t="shared" ref="CY36:CY67" si="55">IF(CW36&gt;CX36,"1",IF(CW36&lt;CX36,"2","X"))</f>
        <v>X</v>
      </c>
      <c r="CZ36" s="40" t="b">
        <f>IF(ISNUMBER(CW36), IF(CY36=$H36,IF(CW36=$F36,IF(CX36=$G36,IF($F36-$G36&gt;=3,6,IF($G36-$F36&gt;=3,6,IF($F36+$G36&gt;=4,6,5))),3),3),0))</f>
        <v>0</v>
      </c>
      <c r="DA36" s="34"/>
      <c r="DB36" s="35"/>
      <c r="DC36" s="39" t="str">
        <f t="shared" ref="DC36:DC67" si="56">IF(DA36&gt;DB36,"1",IF(DA36&lt;DB36,"2","X"))</f>
        <v>X</v>
      </c>
      <c r="DD36" s="40" t="b">
        <f>IF(ISNUMBER(DA36), IF(DC36=$H36,IF(DA36=$F36,IF(DB36=$G36,IF($F36-$G36&gt;=3,6,IF($G36-$F36&gt;=3,6,IF($F36+$G36&gt;=4,6,5))),3),3),0))</f>
        <v>0</v>
      </c>
      <c r="DE36" s="34"/>
      <c r="DF36" s="35"/>
      <c r="DG36" s="39" t="str">
        <f t="shared" ref="DG36:DG67" si="57">IF(DE36&gt;DF36,"1",IF(DE36&lt;DF36,"2","X"))</f>
        <v>X</v>
      </c>
      <c r="DH36" s="40" t="b">
        <f>IF(ISNUMBER(DE36), IF(DG36=$H36,IF(DE36=$F36,IF(DF36=$G36,IF($F36-$G36&gt;=3,6,IF($G36-$F36&gt;=3,6,IF($F36+$G36&gt;=4,6,5))),3),3),0))</f>
        <v>0</v>
      </c>
      <c r="DI36" s="34"/>
      <c r="DJ36" s="35"/>
      <c r="DK36" s="39" t="str">
        <f t="shared" ref="DK36:DK67" si="58">IF(DI36&gt;DJ36,"1",IF(DI36&lt;DJ36,"2","X"))</f>
        <v>X</v>
      </c>
      <c r="DL36" s="40" t="b">
        <f>IF(ISNUMBER(DI36), IF(DK36=$H36,IF(DI36=$F36,IF(DJ36=$G36,IF($F36-$G36&gt;=3,6,IF($G36-$F36&gt;=3,6,IF($F36+$G36&gt;=4,6,5))),3),3),0))</f>
        <v>0</v>
      </c>
      <c r="DM36" s="34"/>
      <c r="DN36" s="35"/>
      <c r="DO36" s="39" t="str">
        <f t="shared" si="29"/>
        <v>X</v>
      </c>
      <c r="DP36" s="40" t="b">
        <f>IF(ISNUMBER(DM36), IF(DO36=$H36,IF(DM36=$F36,IF(DN36=$G36,IF($F36-$G36&gt;=3,6,IF($G36-$F36&gt;=3,6,IF($F36+$G36&gt;=4,6,5))),3),3),0))</f>
        <v>0</v>
      </c>
    </row>
    <row r="37" spans="1:120" ht="13" customHeight="1" thickBot="1">
      <c r="A37" s="41"/>
      <c r="B37" s="42"/>
      <c r="C37" s="43"/>
      <c r="D37" s="44" t="s">
        <v>142</v>
      </c>
      <c r="E37" s="33">
        <f t="shared" si="30"/>
        <v>0</v>
      </c>
      <c r="F37" s="45"/>
      <c r="G37" s="46"/>
      <c r="H37" s="47" t="b">
        <f t="shared" si="31"/>
        <v>0</v>
      </c>
      <c r="I37" s="45"/>
      <c r="J37" s="46"/>
      <c r="K37" s="50" t="str">
        <f t="shared" si="32"/>
        <v>X</v>
      </c>
      <c r="L37" s="51" t="b">
        <f>IF(ISNUMBER(I37), IF(K37=$H37,IF(I37=$F37,IF(J37=$G37,2,1),1),0))</f>
        <v>0</v>
      </c>
      <c r="M37" s="45"/>
      <c r="N37" s="46"/>
      <c r="O37" s="50" t="str">
        <f t="shared" si="33"/>
        <v>X</v>
      </c>
      <c r="P37" s="51" t="b">
        <f>IF(ISNUMBER(M37), IF(O37=$H37,IF(M37=$F37,IF(N37=$G37,2,1),1),0))</f>
        <v>0</v>
      </c>
      <c r="Q37" s="45"/>
      <c r="R37" s="46"/>
      <c r="S37" s="50" t="str">
        <f t="shared" si="34"/>
        <v>X</v>
      </c>
      <c r="T37" s="51" t="b">
        <f>IF(ISNUMBER(Q37), IF(S37=$H37,IF(Q37=$F37,IF(R37=$G37,2,1),1),0))</f>
        <v>0</v>
      </c>
      <c r="U37" s="45"/>
      <c r="V37" s="46"/>
      <c r="W37" s="50" t="str">
        <f t="shared" si="35"/>
        <v>X</v>
      </c>
      <c r="X37" s="51" t="b">
        <f>IF(ISNUMBER(U37), IF(W37=$H37,IF(U37=$F37,IF(V37=$G37,2,1),1),0))</f>
        <v>0</v>
      </c>
      <c r="Y37" s="45"/>
      <c r="Z37" s="46"/>
      <c r="AA37" s="50" t="str">
        <f t="shared" si="36"/>
        <v>X</v>
      </c>
      <c r="AB37" s="51" t="b">
        <f>IF(ISNUMBER(Y37), IF(AA37=$H37,IF(Y37=$F37,IF(Z37=$G37,2,1),1),0))</f>
        <v>0</v>
      </c>
      <c r="AC37" s="45"/>
      <c r="AD37" s="46"/>
      <c r="AE37" s="50" t="str">
        <f t="shared" si="37"/>
        <v>X</v>
      </c>
      <c r="AF37" s="51" t="b">
        <f>IF(ISNUMBER(AC37), IF(AE37=$H37,IF(AC37=$F37,IF(AD37=$G37,2,1),1),0))</f>
        <v>0</v>
      </c>
      <c r="AG37" s="45"/>
      <c r="AH37" s="46"/>
      <c r="AI37" s="50" t="str">
        <f t="shared" si="38"/>
        <v>X</v>
      </c>
      <c r="AJ37" s="51" t="b">
        <f>IF(ISNUMBER(AG37), IF(AI37=$H37,IF(AG37=$F37,IF(AH37=$G37,2,1),1),0))</f>
        <v>0</v>
      </c>
      <c r="AK37" s="45"/>
      <c r="AL37" s="46"/>
      <c r="AM37" s="50" t="str">
        <f t="shared" si="39"/>
        <v>X</v>
      </c>
      <c r="AN37" s="51" t="b">
        <f>IF(ISNUMBER(AK37), IF(AM37=$H37,IF(AK37=$F37,IF(AL37=$G37,2,1),1),0))</f>
        <v>0</v>
      </c>
      <c r="AO37" s="45"/>
      <c r="AP37" s="46"/>
      <c r="AQ37" s="50" t="str">
        <f t="shared" si="40"/>
        <v>X</v>
      </c>
      <c r="AR37" s="51" t="b">
        <f>IF(ISNUMBER(AO37), IF(AQ37=$H37,IF(AO37=$F37,IF(AP37=$G37,2,1),1),0))</f>
        <v>0</v>
      </c>
      <c r="AS37" s="45"/>
      <c r="AT37" s="46"/>
      <c r="AU37" s="50" t="str">
        <f t="shared" si="41"/>
        <v>X</v>
      </c>
      <c r="AV37" s="51" t="b">
        <f>IF(ISNUMBER(AS37), IF(AU37=$H37,IF(AS37=$F37,IF(AT37=$G37,2,1),1),0))</f>
        <v>0</v>
      </c>
      <c r="AW37" s="45"/>
      <c r="AX37" s="46"/>
      <c r="AY37" s="50" t="str">
        <f t="shared" si="42"/>
        <v>X</v>
      </c>
      <c r="AZ37" s="51" t="b">
        <f>IF(ISNUMBER(AW37), IF(AY37=$H37,IF(AW37=$F37,IF(AX37=$G37,2,1),1),0))</f>
        <v>0</v>
      </c>
      <c r="BA37" s="45"/>
      <c r="BB37" s="46"/>
      <c r="BC37" s="50" t="str">
        <f t="shared" si="43"/>
        <v>X</v>
      </c>
      <c r="BD37" s="51" t="b">
        <f>IF(ISNUMBER(BA37), IF(BC37=$H37,IF(BA37=$F37,IF(BB37=$G37,2,1),1),0))</f>
        <v>0</v>
      </c>
      <c r="BE37" s="45"/>
      <c r="BF37" s="46"/>
      <c r="BG37" s="50" t="str">
        <f t="shared" si="44"/>
        <v>X</v>
      </c>
      <c r="BH37" s="51" t="b">
        <f>IF(ISNUMBER(BE37), IF(BG37=$H37,IF(BE37=$F37,IF(BF37=$G37,2,1),1),0))</f>
        <v>0</v>
      </c>
      <c r="BI37" s="45"/>
      <c r="BJ37" s="46"/>
      <c r="BK37" s="50" t="str">
        <f t="shared" si="45"/>
        <v>X</v>
      </c>
      <c r="BL37" s="51" t="b">
        <f>IF(ISNUMBER(BI37), IF(BK37=$H37,IF(BI37=$F37,IF(BJ37=$G37,2,1),1),0))</f>
        <v>0</v>
      </c>
      <c r="BM37" s="48"/>
      <c r="BN37" s="49"/>
      <c r="BO37" s="50" t="str">
        <f t="shared" si="46"/>
        <v>X</v>
      </c>
      <c r="BP37" s="51" t="b">
        <f>IF(ISNUMBER(BM37), IF(BO37=$H37,IF(BM37=$F37,IF(BN37=$G37,2,1),1),0))</f>
        <v>0</v>
      </c>
      <c r="BQ37" s="48"/>
      <c r="BR37" s="49"/>
      <c r="BS37" s="50" t="str">
        <f t="shared" si="47"/>
        <v>X</v>
      </c>
      <c r="BT37" s="51" t="b">
        <f>IF(ISNUMBER(BQ37), IF(BS37=$H37,IF(BQ37=$F37,IF(BR37=$G37,2,1),1),0))</f>
        <v>0</v>
      </c>
      <c r="BU37" s="45"/>
      <c r="BV37" s="46"/>
      <c r="BW37" s="50" t="str">
        <f t="shared" si="48"/>
        <v>X</v>
      </c>
      <c r="BX37" s="51" t="b">
        <f>IF(ISNUMBER(BU37), IF(BW37=$H37,IF(BU37=$F37,IF(BV37=$G37,2,1),1),0))</f>
        <v>0</v>
      </c>
      <c r="BY37" s="45"/>
      <c r="BZ37" s="46"/>
      <c r="CA37" s="50" t="str">
        <f t="shared" si="49"/>
        <v>X</v>
      </c>
      <c r="CB37" s="51" t="b">
        <f>IF(ISNUMBER(BY37), IF(CA37=$H37,IF(BY37=$F37,IF(BZ37=$G37,2,1),1),0))</f>
        <v>0</v>
      </c>
      <c r="CC37" s="45"/>
      <c r="CD37" s="46"/>
      <c r="CE37" s="50" t="str">
        <f t="shared" si="50"/>
        <v>X</v>
      </c>
      <c r="CF37" s="51" t="b">
        <f>IF(ISNUMBER(CC37), IF(CE37=$H37,IF(CC37=$F37,IF(CD37=$G37,2,1),1),0))</f>
        <v>0</v>
      </c>
      <c r="CG37" s="45"/>
      <c r="CH37" s="46"/>
      <c r="CI37" s="50" t="str">
        <f t="shared" si="51"/>
        <v>X</v>
      </c>
      <c r="CJ37" s="51" t="b">
        <f>IF(ISNUMBER(CG37), IF(CI37=$H37,IF(CG37=$F37,IF(CH37=$G37,2,1),1),0))</f>
        <v>0</v>
      </c>
      <c r="CK37" s="45"/>
      <c r="CL37" s="46"/>
      <c r="CM37" s="50" t="str">
        <f t="shared" si="52"/>
        <v>X</v>
      </c>
      <c r="CN37" s="51" t="b">
        <f>IF(ISNUMBER(CK37), IF(CM37=$H37,IF(CK37=$F37,IF(CL37=$G37,2,1),1),0))</f>
        <v>0</v>
      </c>
      <c r="CO37" s="45"/>
      <c r="CP37" s="46"/>
      <c r="CQ37" s="50" t="str">
        <f t="shared" si="53"/>
        <v>X</v>
      </c>
      <c r="CR37" s="51" t="b">
        <f>IF(ISNUMBER(CO37), IF(CQ37=$H37,IF(CO37=$F37,IF(CP37=$G37,2,1),1),0))</f>
        <v>0</v>
      </c>
      <c r="CS37" s="45"/>
      <c r="CT37" s="46"/>
      <c r="CU37" s="50" t="str">
        <f t="shared" si="54"/>
        <v>X</v>
      </c>
      <c r="CV37" s="51" t="b">
        <f>IF(ISNUMBER(CS37), IF(CU37=$H37,IF(CS37=$F37,IF(CT37=$G37,2,1),1),0))</f>
        <v>0</v>
      </c>
      <c r="CW37" s="45"/>
      <c r="CX37" s="46"/>
      <c r="CY37" s="50" t="str">
        <f t="shared" si="55"/>
        <v>X</v>
      </c>
      <c r="CZ37" s="51" t="b">
        <f>IF(ISNUMBER(CW37), IF(CY37=$H37,IF(CW37=$F37,IF(CX37=$G37,2,1),1),0))</f>
        <v>0</v>
      </c>
      <c r="DA37" s="45"/>
      <c r="DB37" s="46"/>
      <c r="DC37" s="50" t="str">
        <f t="shared" si="56"/>
        <v>X</v>
      </c>
      <c r="DD37" s="51" t="b">
        <f>IF(ISNUMBER(DA37), IF(DC37=$H37,IF(DA37=$F37,IF(DB37=$G37,2,1),1),0))</f>
        <v>0</v>
      </c>
      <c r="DE37" s="45"/>
      <c r="DF37" s="46"/>
      <c r="DG37" s="50" t="str">
        <f t="shared" si="57"/>
        <v>X</v>
      </c>
      <c r="DH37" s="51" t="b">
        <f>IF(ISNUMBER(DE37), IF(DG37=$H37,IF(DE37=$F37,IF(DF37=$G37,2,1),1),0))</f>
        <v>0</v>
      </c>
      <c r="DI37" s="45"/>
      <c r="DJ37" s="46"/>
      <c r="DK37" s="50" t="str">
        <f t="shared" si="58"/>
        <v>X</v>
      </c>
      <c r="DL37" s="51" t="b">
        <f>IF(ISNUMBER(DI37), IF(DK37=$H37,IF(DI37=$F37,IF(DJ37=$G37,2,1),1),0))</f>
        <v>0</v>
      </c>
      <c r="DM37" s="45"/>
      <c r="DN37" s="46"/>
      <c r="DO37" s="50" t="str">
        <f t="shared" si="29"/>
        <v>X</v>
      </c>
      <c r="DP37" s="51" t="b">
        <f>IF(ISNUMBER(DM37), IF(DO37=$H37,IF(DM37=$F37,IF(DN37=$G37,2,1),1),0))</f>
        <v>0</v>
      </c>
    </row>
    <row r="38" spans="1:120" ht="13" customHeight="1" thickBot="1">
      <c r="A38" s="41"/>
      <c r="B38" s="42"/>
      <c r="C38" s="43"/>
      <c r="D38" s="44" t="s">
        <v>143</v>
      </c>
      <c r="E38" s="33">
        <f t="shared" si="30"/>
        <v>0</v>
      </c>
      <c r="F38" s="45"/>
      <c r="G38" s="46"/>
      <c r="H38" s="47" t="b">
        <f t="shared" si="31"/>
        <v>0</v>
      </c>
      <c r="I38" s="45"/>
      <c r="J38" s="46"/>
      <c r="K38" s="50" t="str">
        <f t="shared" si="32"/>
        <v>X</v>
      </c>
      <c r="L38" s="51" t="b">
        <f>IF(ISNUMBER(I38), IF(K38=$H38,IF(I38=$F38,IF(J38=$G38,2,1),1),0))</f>
        <v>0</v>
      </c>
      <c r="M38" s="45"/>
      <c r="N38" s="46"/>
      <c r="O38" s="50" t="str">
        <f t="shared" si="33"/>
        <v>X</v>
      </c>
      <c r="P38" s="51" t="b">
        <f>IF(ISNUMBER(M38), IF(O38=$H38,IF(M38=$F38,IF(N38=$G38,2,1),1),0))</f>
        <v>0</v>
      </c>
      <c r="Q38" s="45"/>
      <c r="R38" s="46"/>
      <c r="S38" s="50" t="str">
        <f t="shared" si="34"/>
        <v>X</v>
      </c>
      <c r="T38" s="51" t="b">
        <f>IF(ISNUMBER(Q38), IF(S38=$H38,IF(Q38=$F38,IF(R38=$G38,2,1),1),0))</f>
        <v>0</v>
      </c>
      <c r="U38" s="45"/>
      <c r="V38" s="46"/>
      <c r="W38" s="50" t="str">
        <f t="shared" si="35"/>
        <v>X</v>
      </c>
      <c r="X38" s="51" t="b">
        <f>IF(ISNUMBER(U38), IF(W38=$H38,IF(U38=$F38,IF(V38=$G38,2,1),1),0))</f>
        <v>0</v>
      </c>
      <c r="Y38" s="45"/>
      <c r="Z38" s="46"/>
      <c r="AA38" s="50" t="str">
        <f t="shared" si="36"/>
        <v>X</v>
      </c>
      <c r="AB38" s="51" t="b">
        <f>IF(ISNUMBER(Y38), IF(AA38=$H38,IF(Y38=$F38,IF(Z38=$G38,2,1),1),0))</f>
        <v>0</v>
      </c>
      <c r="AC38" s="45"/>
      <c r="AD38" s="46"/>
      <c r="AE38" s="50" t="str">
        <f t="shared" si="37"/>
        <v>X</v>
      </c>
      <c r="AF38" s="51" t="b">
        <f>IF(ISNUMBER(AC38), IF(AE38=$H38,IF(AC38=$F38,IF(AD38=$G38,2,1),1),0))</f>
        <v>0</v>
      </c>
      <c r="AG38" s="45"/>
      <c r="AH38" s="46"/>
      <c r="AI38" s="50" t="str">
        <f t="shared" si="38"/>
        <v>X</v>
      </c>
      <c r="AJ38" s="51" t="b">
        <f>IF(ISNUMBER(AG38), IF(AI38=$H38,IF(AG38=$F38,IF(AH38=$G38,2,1),1),0))</f>
        <v>0</v>
      </c>
      <c r="AK38" s="45"/>
      <c r="AL38" s="46"/>
      <c r="AM38" s="50" t="str">
        <f t="shared" si="39"/>
        <v>X</v>
      </c>
      <c r="AN38" s="51" t="b">
        <f>IF(ISNUMBER(AK38), IF(AM38=$H38,IF(AK38=$F38,IF(AL38=$G38,2,1),1),0))</f>
        <v>0</v>
      </c>
      <c r="AO38" s="45"/>
      <c r="AP38" s="46"/>
      <c r="AQ38" s="50" t="str">
        <f t="shared" si="40"/>
        <v>X</v>
      </c>
      <c r="AR38" s="51" t="b">
        <f>IF(ISNUMBER(AO38), IF(AQ38=$H38,IF(AO38=$F38,IF(AP38=$G38,2,1),1),0))</f>
        <v>0</v>
      </c>
      <c r="AS38" s="45"/>
      <c r="AT38" s="46"/>
      <c r="AU38" s="50" t="str">
        <f t="shared" si="41"/>
        <v>X</v>
      </c>
      <c r="AV38" s="51" t="b">
        <f>IF(ISNUMBER(AS38), IF(AU38=$H38,IF(AS38=$F38,IF(AT38=$G38,2,1),1),0))</f>
        <v>0</v>
      </c>
      <c r="AW38" s="45"/>
      <c r="AX38" s="46"/>
      <c r="AY38" s="50" t="str">
        <f t="shared" si="42"/>
        <v>X</v>
      </c>
      <c r="AZ38" s="51" t="b">
        <f>IF(ISNUMBER(AW38), IF(AY38=$H38,IF(AW38=$F38,IF(AX38=$G38,2,1),1),0))</f>
        <v>0</v>
      </c>
      <c r="BA38" s="45"/>
      <c r="BB38" s="46"/>
      <c r="BC38" s="50" t="str">
        <f t="shared" si="43"/>
        <v>X</v>
      </c>
      <c r="BD38" s="51" t="b">
        <f>IF(ISNUMBER(BA38), IF(BC38=$H38,IF(BA38=$F38,IF(BB38=$G38,2,1),1),0))</f>
        <v>0</v>
      </c>
      <c r="BE38" s="45"/>
      <c r="BF38" s="46"/>
      <c r="BG38" s="50" t="str">
        <f t="shared" si="44"/>
        <v>X</v>
      </c>
      <c r="BH38" s="51" t="b">
        <f>IF(ISNUMBER(BE38), IF(BG38=$H38,IF(BE38=$F38,IF(BF38=$G38,2,1),1),0))</f>
        <v>0</v>
      </c>
      <c r="BI38" s="45"/>
      <c r="BJ38" s="46"/>
      <c r="BK38" s="50" t="str">
        <f t="shared" si="45"/>
        <v>X</v>
      </c>
      <c r="BL38" s="51" t="b">
        <f>IF(ISNUMBER(BI38), IF(BK38=$H38,IF(BI38=$F38,IF(BJ38=$G38,2,1),1),0))</f>
        <v>0</v>
      </c>
      <c r="BM38" s="48"/>
      <c r="BN38" s="49"/>
      <c r="BO38" s="50" t="str">
        <f t="shared" si="46"/>
        <v>X</v>
      </c>
      <c r="BP38" s="51" t="b">
        <f>IF(ISNUMBER(BM38), IF(BO38=$H38,IF(BM38=$F38,IF(BN38=$G38,2,1),1),0))</f>
        <v>0</v>
      </c>
      <c r="BQ38" s="48"/>
      <c r="BR38" s="49"/>
      <c r="BS38" s="50" t="str">
        <f t="shared" si="47"/>
        <v>X</v>
      </c>
      <c r="BT38" s="51" t="b">
        <f>IF(ISNUMBER(BQ38), IF(BS38=$H38,IF(BQ38=$F38,IF(BR38=$G38,2,1),1),0))</f>
        <v>0</v>
      </c>
      <c r="BU38" s="45"/>
      <c r="BV38" s="46"/>
      <c r="BW38" s="50" t="str">
        <f t="shared" si="48"/>
        <v>X</v>
      </c>
      <c r="BX38" s="51" t="b">
        <f>IF(ISNUMBER(BU38), IF(BW38=$H38,IF(BU38=$F38,IF(BV38=$G38,2,1),1),0))</f>
        <v>0</v>
      </c>
      <c r="BY38" s="45"/>
      <c r="BZ38" s="46"/>
      <c r="CA38" s="50" t="str">
        <f t="shared" si="49"/>
        <v>X</v>
      </c>
      <c r="CB38" s="51" t="b">
        <f>IF(ISNUMBER(BY38), IF(CA38=$H38,IF(BY38=$F38,IF(BZ38=$G38,2,1),1),0))</f>
        <v>0</v>
      </c>
      <c r="CC38" s="45"/>
      <c r="CD38" s="46"/>
      <c r="CE38" s="50" t="str">
        <f t="shared" si="50"/>
        <v>X</v>
      </c>
      <c r="CF38" s="51" t="b">
        <f>IF(ISNUMBER(CC38), IF(CE38=$H38,IF(CC38=$F38,IF(CD38=$G38,2,1),1),0))</f>
        <v>0</v>
      </c>
      <c r="CG38" s="45"/>
      <c r="CH38" s="46"/>
      <c r="CI38" s="50" t="str">
        <f t="shared" si="51"/>
        <v>X</v>
      </c>
      <c r="CJ38" s="51" t="b">
        <f>IF(ISNUMBER(CG38), IF(CI38=$H38,IF(CG38=$F38,IF(CH38=$G38,2,1),1),0))</f>
        <v>0</v>
      </c>
      <c r="CK38" s="45"/>
      <c r="CL38" s="46"/>
      <c r="CM38" s="50" t="str">
        <f t="shared" si="52"/>
        <v>X</v>
      </c>
      <c r="CN38" s="51" t="b">
        <f>IF(ISNUMBER(CK38), IF(CM38=$H38,IF(CK38=$F38,IF(CL38=$G38,2,1),1),0))</f>
        <v>0</v>
      </c>
      <c r="CO38" s="45"/>
      <c r="CP38" s="46"/>
      <c r="CQ38" s="50" t="str">
        <f t="shared" si="53"/>
        <v>X</v>
      </c>
      <c r="CR38" s="51" t="b">
        <f>IF(ISNUMBER(CO38), IF(CQ38=$H38,IF(CO38=$F38,IF(CP38=$G38,2,1),1),0))</f>
        <v>0</v>
      </c>
      <c r="CS38" s="45"/>
      <c r="CT38" s="46"/>
      <c r="CU38" s="50" t="str">
        <f t="shared" si="54"/>
        <v>X</v>
      </c>
      <c r="CV38" s="51" t="b">
        <f>IF(ISNUMBER(CS38), IF(CU38=$H38,IF(CS38=$F38,IF(CT38=$G38,2,1),1),0))</f>
        <v>0</v>
      </c>
      <c r="CW38" s="45"/>
      <c r="CX38" s="46"/>
      <c r="CY38" s="50" t="str">
        <f t="shared" si="55"/>
        <v>X</v>
      </c>
      <c r="CZ38" s="51" t="b">
        <f>IF(ISNUMBER(CW38), IF(CY38=$H38,IF(CW38=$F38,IF(CX38=$G38,2,1),1),0))</f>
        <v>0</v>
      </c>
      <c r="DA38" s="45"/>
      <c r="DB38" s="46"/>
      <c r="DC38" s="50" t="str">
        <f t="shared" si="56"/>
        <v>X</v>
      </c>
      <c r="DD38" s="51" t="b">
        <f>IF(ISNUMBER(DA38), IF(DC38=$H38,IF(DA38=$F38,IF(DB38=$G38,2,1),1),0))</f>
        <v>0</v>
      </c>
      <c r="DE38" s="45"/>
      <c r="DF38" s="46"/>
      <c r="DG38" s="50" t="str">
        <f t="shared" si="57"/>
        <v>X</v>
      </c>
      <c r="DH38" s="51" t="b">
        <f>IF(ISNUMBER(DE38), IF(DG38=$H38,IF(DE38=$F38,IF(DF38=$G38,2,1),1),0))</f>
        <v>0</v>
      </c>
      <c r="DI38" s="45"/>
      <c r="DJ38" s="46"/>
      <c r="DK38" s="50" t="str">
        <f t="shared" si="58"/>
        <v>X</v>
      </c>
      <c r="DL38" s="51" t="b">
        <f>IF(ISNUMBER(DI38), IF(DK38=$H38,IF(DI38=$F38,IF(DJ38=$G38,2,1),1),0))</f>
        <v>0</v>
      </c>
      <c r="DM38" s="45"/>
      <c r="DN38" s="46"/>
      <c r="DO38" s="50" t="str">
        <f t="shared" si="29"/>
        <v>X</v>
      </c>
      <c r="DP38" s="51" t="b">
        <f>IF(ISNUMBER(DM38), IF(DO38=$H38,IF(DM38=$F38,IF(DN38=$G38,2,1),1),0))</f>
        <v>0</v>
      </c>
    </row>
    <row r="39" spans="1:120" s="25" customFormat="1" ht="13" customHeight="1" thickBot="1">
      <c r="A39" s="52"/>
      <c r="B39" s="53"/>
      <c r="C39" s="54"/>
      <c r="D39" s="55" t="s">
        <v>144</v>
      </c>
      <c r="E39" s="33">
        <f t="shared" si="30"/>
        <v>0</v>
      </c>
      <c r="F39" s="56"/>
      <c r="G39" s="56"/>
      <c r="H39" s="57" t="b">
        <f t="shared" si="31"/>
        <v>0</v>
      </c>
      <c r="I39" s="58">
        <f>SUM(I36:I38)</f>
        <v>0</v>
      </c>
      <c r="J39" s="59">
        <f>SUM(J36:J38)</f>
        <v>0</v>
      </c>
      <c r="K39" s="59" t="str">
        <f t="shared" si="32"/>
        <v>X</v>
      </c>
      <c r="L39" s="60">
        <f>IF($H39=K39,SUM(L36:L38)+1,SUM(L36:L38))</f>
        <v>0</v>
      </c>
      <c r="M39" s="58">
        <f>SUM(M36:M38)</f>
        <v>0</v>
      </c>
      <c r="N39" s="59">
        <f>SUM(N36:N38)</f>
        <v>0</v>
      </c>
      <c r="O39" s="59" t="str">
        <f t="shared" si="33"/>
        <v>X</v>
      </c>
      <c r="P39" s="60">
        <f>IF($H39=O39,SUM(P36:P38)+1,SUM(P36:P38))</f>
        <v>0</v>
      </c>
      <c r="Q39" s="58">
        <f>SUM(Q36:Q38)</f>
        <v>0</v>
      </c>
      <c r="R39" s="59">
        <f>SUM(R36:R38)</f>
        <v>0</v>
      </c>
      <c r="S39" s="59" t="str">
        <f t="shared" si="34"/>
        <v>X</v>
      </c>
      <c r="T39" s="60">
        <f>IF($H39=S39,SUM(T36:T38)+1,SUM(T36:T38))</f>
        <v>0</v>
      </c>
      <c r="U39" s="58">
        <f>SUM(U36:U38)</f>
        <v>0</v>
      </c>
      <c r="V39" s="59">
        <f>SUM(V36:V38)</f>
        <v>0</v>
      </c>
      <c r="W39" s="59" t="str">
        <f t="shared" si="35"/>
        <v>X</v>
      </c>
      <c r="X39" s="60">
        <f>IF($H39=W39,SUM(X36:X38)+1,SUM(X36:X38))</f>
        <v>0</v>
      </c>
      <c r="Y39" s="58">
        <f>SUM(Y36:Y38)</f>
        <v>0</v>
      </c>
      <c r="Z39" s="59">
        <f>SUM(Z36:Z38)</f>
        <v>0</v>
      </c>
      <c r="AA39" s="59" t="str">
        <f t="shared" si="36"/>
        <v>X</v>
      </c>
      <c r="AB39" s="60">
        <f>IF($H39=AA39,SUM(AB36:AB38)+1,SUM(AB36:AB38))</f>
        <v>0</v>
      </c>
      <c r="AC39" s="58">
        <f>SUM(AC36:AC38)</f>
        <v>0</v>
      </c>
      <c r="AD39" s="59">
        <f>SUM(AD36:AD38)</f>
        <v>0</v>
      </c>
      <c r="AE39" s="59" t="str">
        <f t="shared" si="37"/>
        <v>X</v>
      </c>
      <c r="AF39" s="60">
        <f>IF($H39=AE39,SUM(AF36:AF38)+1,SUM(AF36:AF38))</f>
        <v>0</v>
      </c>
      <c r="AG39" s="58">
        <f>SUM(AG36:AG38)</f>
        <v>0</v>
      </c>
      <c r="AH39" s="59">
        <f>SUM(AH36:AH38)</f>
        <v>0</v>
      </c>
      <c r="AI39" s="59" t="str">
        <f t="shared" si="38"/>
        <v>X</v>
      </c>
      <c r="AJ39" s="60">
        <f>IF($H39=AI39,SUM(AJ36:AJ38)+1,SUM(AJ36:AJ38))</f>
        <v>0</v>
      </c>
      <c r="AK39" s="58">
        <f>SUM(AK36:AK38)</f>
        <v>0</v>
      </c>
      <c r="AL39" s="59">
        <f>SUM(AL36:AL38)</f>
        <v>0</v>
      </c>
      <c r="AM39" s="59" t="str">
        <f t="shared" si="39"/>
        <v>X</v>
      </c>
      <c r="AN39" s="60">
        <f>IF($H39=AM39,SUM(AN36:AN38)+1,SUM(AN36:AN38))</f>
        <v>0</v>
      </c>
      <c r="AO39" s="58">
        <f>SUM(AO36:AO38)</f>
        <v>0</v>
      </c>
      <c r="AP39" s="59">
        <f>SUM(AP36:AP38)</f>
        <v>0</v>
      </c>
      <c r="AQ39" s="59" t="str">
        <f t="shared" si="40"/>
        <v>X</v>
      </c>
      <c r="AR39" s="60">
        <f>IF($H39=AQ39,SUM(AR36:AR38)+1,SUM(AR36:AR38))</f>
        <v>0</v>
      </c>
      <c r="AS39" s="58">
        <f>SUM(AS36:AS38)</f>
        <v>0</v>
      </c>
      <c r="AT39" s="59">
        <f>SUM(AT36:AT38)</f>
        <v>0</v>
      </c>
      <c r="AU39" s="59" t="str">
        <f t="shared" si="41"/>
        <v>X</v>
      </c>
      <c r="AV39" s="60">
        <f>IF($H39=AU39,SUM(AV36:AV38)+1,SUM(AV36:AV38))</f>
        <v>0</v>
      </c>
      <c r="AW39" s="58">
        <f>SUM(AW36:AW38)</f>
        <v>0</v>
      </c>
      <c r="AX39" s="59">
        <f>SUM(AX36:AX38)</f>
        <v>0</v>
      </c>
      <c r="AY39" s="59" t="str">
        <f t="shared" si="42"/>
        <v>X</v>
      </c>
      <c r="AZ39" s="60">
        <f>IF($H39=AY39,SUM(AZ36:AZ38)+1,SUM(AZ36:AZ38))</f>
        <v>0</v>
      </c>
      <c r="BA39" s="58">
        <f>SUM(BA36:BA38)</f>
        <v>0</v>
      </c>
      <c r="BB39" s="59">
        <f>SUM(BB36:BB38)</f>
        <v>0</v>
      </c>
      <c r="BC39" s="59" t="str">
        <f t="shared" si="43"/>
        <v>X</v>
      </c>
      <c r="BD39" s="60">
        <f>IF($H39=BC39,SUM(BD36:BD38)+1,SUM(BD36:BD38))</f>
        <v>0</v>
      </c>
      <c r="BE39" s="58">
        <f>SUM(BE36:BE38)</f>
        <v>0</v>
      </c>
      <c r="BF39" s="59">
        <f>SUM(BF36:BF38)</f>
        <v>0</v>
      </c>
      <c r="BG39" s="59" t="str">
        <f t="shared" si="44"/>
        <v>X</v>
      </c>
      <c r="BH39" s="60">
        <f>IF($H39=BG39,SUM(BH36:BH38)+1,SUM(BH36:BH38))</f>
        <v>0</v>
      </c>
      <c r="BI39" s="58">
        <f>SUM(BI36:BI38)</f>
        <v>0</v>
      </c>
      <c r="BJ39" s="59">
        <f>SUM(BJ36:BJ38)</f>
        <v>0</v>
      </c>
      <c r="BK39" s="59" t="str">
        <f t="shared" si="45"/>
        <v>X</v>
      </c>
      <c r="BL39" s="60">
        <f>IF($H39=BK39,SUM(BL36:BL38)+1,SUM(BL36:BL38))</f>
        <v>0</v>
      </c>
      <c r="BM39" s="58">
        <f>SUM(BM36:BM38)</f>
        <v>0</v>
      </c>
      <c r="BN39" s="59">
        <f>SUM(BN36:BN38)</f>
        <v>0</v>
      </c>
      <c r="BO39" s="59" t="str">
        <f t="shared" si="46"/>
        <v>X</v>
      </c>
      <c r="BP39" s="60">
        <f>IF($H39=BO39,SUM(BP36:BP38)+1,SUM(BP36:BP38))</f>
        <v>0</v>
      </c>
      <c r="BQ39" s="58">
        <f>SUM(BQ36:BQ38)</f>
        <v>0</v>
      </c>
      <c r="BR39" s="59">
        <f>SUM(BR36:BR38)</f>
        <v>0</v>
      </c>
      <c r="BS39" s="59" t="str">
        <f t="shared" si="47"/>
        <v>X</v>
      </c>
      <c r="BT39" s="60">
        <f>IF($H39=BS39,SUM(BT36:BT38)+1,SUM(BT36:BT38))</f>
        <v>0</v>
      </c>
      <c r="BU39" s="58">
        <f>SUM(BU36:BU38)</f>
        <v>0</v>
      </c>
      <c r="BV39" s="59">
        <f>SUM(BV36:BV38)</f>
        <v>0</v>
      </c>
      <c r="BW39" s="59" t="str">
        <f t="shared" si="48"/>
        <v>X</v>
      </c>
      <c r="BX39" s="60">
        <f>IF($H39=BW39,SUM(BX36:BX38)+1,SUM(BX36:BX38))</f>
        <v>0</v>
      </c>
      <c r="BY39" s="58">
        <f>SUM(BY36:BY38)</f>
        <v>0</v>
      </c>
      <c r="BZ39" s="59">
        <f>SUM(BZ36:BZ38)</f>
        <v>0</v>
      </c>
      <c r="CA39" s="59" t="str">
        <f t="shared" si="49"/>
        <v>X</v>
      </c>
      <c r="CB39" s="60">
        <f>IF($H39=CA39,SUM(CB36:CB38)+1,SUM(CB36:CB38))</f>
        <v>0</v>
      </c>
      <c r="CC39" s="58">
        <f>SUM(CC36:CC38)</f>
        <v>0</v>
      </c>
      <c r="CD39" s="59">
        <f>SUM(CD36:CD38)</f>
        <v>0</v>
      </c>
      <c r="CE39" s="59" t="str">
        <f t="shared" si="50"/>
        <v>X</v>
      </c>
      <c r="CF39" s="60">
        <f>IF($H39=CE39,SUM(CF36:CF38)+1,SUM(CF36:CF38))</f>
        <v>0</v>
      </c>
      <c r="CG39" s="58">
        <f>SUM(CG36:CG38)</f>
        <v>0</v>
      </c>
      <c r="CH39" s="59">
        <f>SUM(CH36:CH38)</f>
        <v>0</v>
      </c>
      <c r="CI39" s="59" t="str">
        <f t="shared" si="51"/>
        <v>X</v>
      </c>
      <c r="CJ39" s="60">
        <f>IF($H39=CI39,SUM(CJ36:CJ38)+1,SUM(CJ36:CJ38))</f>
        <v>0</v>
      </c>
      <c r="CK39" s="58">
        <f>SUM(CK36:CK38)</f>
        <v>0</v>
      </c>
      <c r="CL39" s="59">
        <f>SUM(CL36:CL38)</f>
        <v>0</v>
      </c>
      <c r="CM39" s="59" t="str">
        <f t="shared" si="52"/>
        <v>X</v>
      </c>
      <c r="CN39" s="60">
        <f>IF($H39=CM39,SUM(CN36:CN38)+1,SUM(CN36:CN38))</f>
        <v>0</v>
      </c>
      <c r="CO39" s="58">
        <f>SUM(CO36:CO38)</f>
        <v>0</v>
      </c>
      <c r="CP39" s="59">
        <f>SUM(CP36:CP38)</f>
        <v>0</v>
      </c>
      <c r="CQ39" s="59" t="str">
        <f t="shared" si="53"/>
        <v>X</v>
      </c>
      <c r="CR39" s="60">
        <f>IF($H39=CQ39,SUM(CR36:CR38)+1,SUM(CR36:CR38))</f>
        <v>0</v>
      </c>
      <c r="CS39" s="58">
        <f>SUM(CS36:CS38)</f>
        <v>0</v>
      </c>
      <c r="CT39" s="59">
        <f>SUM(CT36:CT38)</f>
        <v>0</v>
      </c>
      <c r="CU39" s="59" t="str">
        <f t="shared" si="54"/>
        <v>X</v>
      </c>
      <c r="CV39" s="60">
        <f>IF($H39=CU39,SUM(CV36:CV38)+1,SUM(CV36:CV38))</f>
        <v>0</v>
      </c>
      <c r="CW39" s="58">
        <f>SUM(CW36:CW38)</f>
        <v>0</v>
      </c>
      <c r="CX39" s="59">
        <f>SUM(CX36:CX38)</f>
        <v>0</v>
      </c>
      <c r="CY39" s="59" t="str">
        <f t="shared" si="55"/>
        <v>X</v>
      </c>
      <c r="CZ39" s="60">
        <f>IF($H39=CY39,SUM(CZ36:CZ38)+1,SUM(CZ36:CZ38))</f>
        <v>0</v>
      </c>
      <c r="DA39" s="58">
        <f>SUM(DA36:DA38)</f>
        <v>0</v>
      </c>
      <c r="DB39" s="59">
        <f>SUM(DB36:DB38)</f>
        <v>0</v>
      </c>
      <c r="DC39" s="59" t="str">
        <f t="shared" si="56"/>
        <v>X</v>
      </c>
      <c r="DD39" s="60">
        <f>IF($H39=DC39,SUM(DD36:DD38)+1,SUM(DD36:DD38))</f>
        <v>0</v>
      </c>
      <c r="DE39" s="58">
        <f>SUM(DE36:DE38)</f>
        <v>0</v>
      </c>
      <c r="DF39" s="59">
        <f>SUM(DF36:DF38)</f>
        <v>0</v>
      </c>
      <c r="DG39" s="59" t="str">
        <f t="shared" si="57"/>
        <v>X</v>
      </c>
      <c r="DH39" s="60">
        <f>IF($H39=DG39,SUM(DH36:DH38)+1,SUM(DH36:DH38))</f>
        <v>0</v>
      </c>
      <c r="DI39" s="58">
        <f>SUM(DI36:DI38)</f>
        <v>0</v>
      </c>
      <c r="DJ39" s="59">
        <f>SUM(DJ36:DJ38)</f>
        <v>0</v>
      </c>
      <c r="DK39" s="59" t="str">
        <f t="shared" si="58"/>
        <v>X</v>
      </c>
      <c r="DL39" s="60">
        <f>IF($H39=DK39,SUM(DL36:DL38)+1,SUM(DL36:DL38))</f>
        <v>0</v>
      </c>
      <c r="DM39" s="58">
        <f>SUM(DM36:DM38)</f>
        <v>0</v>
      </c>
      <c r="DN39" s="59">
        <f>SUM(DN36:DN38)</f>
        <v>0</v>
      </c>
      <c r="DO39" s="59" t="str">
        <f t="shared" si="29"/>
        <v>X</v>
      </c>
      <c r="DP39" s="60">
        <f>IF($H39=DO39,SUM(DP36:DP38)+1,SUM(DP36:DP38))</f>
        <v>0</v>
      </c>
    </row>
    <row r="40" spans="1:120" ht="13" customHeight="1" thickBot="1">
      <c r="A40" s="113">
        <f>A36</f>
        <v>43442</v>
      </c>
      <c r="B40" s="30" t="s">
        <v>145</v>
      </c>
      <c r="C40" s="31"/>
      <c r="D40" s="32" t="s">
        <v>141</v>
      </c>
      <c r="E40" s="33">
        <f t="shared" si="30"/>
        <v>0</v>
      </c>
      <c r="F40" s="34"/>
      <c r="G40" s="35"/>
      <c r="H40" s="36" t="b">
        <f t="shared" si="31"/>
        <v>0</v>
      </c>
      <c r="I40" s="34"/>
      <c r="J40" s="35"/>
      <c r="K40" s="39" t="str">
        <f t="shared" si="32"/>
        <v>X</v>
      </c>
      <c r="L40" s="40" t="b">
        <f>IF(ISNUMBER(I40), IF(K40=$H40,IF(I40=$F40,IF(J40=$G40,IF($F40-$G40&gt;=3,6,IF($G40-$F40&gt;=3,6,IF($F40+$G40&gt;=4,6,5))),3),3),0))</f>
        <v>0</v>
      </c>
      <c r="M40" s="34"/>
      <c r="N40" s="35"/>
      <c r="O40" s="39" t="str">
        <f t="shared" si="33"/>
        <v>X</v>
      </c>
      <c r="P40" s="40" t="b">
        <f>IF(ISNUMBER(M40), IF(O40=$H40,IF(M40=$F40,IF(N40=$G40,IF($F40-$G40&gt;=3,6,IF($G40-$F40&gt;=3,6,IF($F40+$G40&gt;=4,6,5))),3),3),0))</f>
        <v>0</v>
      </c>
      <c r="Q40" s="34"/>
      <c r="R40" s="35"/>
      <c r="S40" s="39" t="str">
        <f t="shared" si="34"/>
        <v>X</v>
      </c>
      <c r="T40" s="40" t="b">
        <f>IF(ISNUMBER(Q40), IF(S40=$H40,IF(Q40=$F40,IF(R40=$G40,IF($F40-$G40&gt;=3,6,IF($G40-$F40&gt;=3,6,IF($F40+$G40&gt;=4,6,5))),3),3),0))</f>
        <v>0</v>
      </c>
      <c r="U40" s="34"/>
      <c r="V40" s="35"/>
      <c r="W40" s="39" t="str">
        <f t="shared" si="35"/>
        <v>X</v>
      </c>
      <c r="X40" s="40" t="b">
        <f>IF(ISNUMBER(U40), IF(W40=$H40,IF(U40=$F40,IF(V40=$G40,IF($F40-$G40&gt;=3,6,IF($G40-$F40&gt;=3,6,IF($F40+$G40&gt;=4,6,5))),3),3),0))</f>
        <v>0</v>
      </c>
      <c r="Y40" s="34"/>
      <c r="Z40" s="35"/>
      <c r="AA40" s="39" t="str">
        <f t="shared" si="36"/>
        <v>X</v>
      </c>
      <c r="AB40" s="40" t="b">
        <f>IF(ISNUMBER(Y40), IF(AA40=$H40,IF(Y40=$F40,IF(Z40=$G40,IF($F40-$G40&gt;=3,6,IF($G40-$F40&gt;=3,6,IF($F40+$G40&gt;=4,6,5))),3),3),0))</f>
        <v>0</v>
      </c>
      <c r="AC40" s="34"/>
      <c r="AD40" s="35"/>
      <c r="AE40" s="39" t="str">
        <f t="shared" si="37"/>
        <v>X</v>
      </c>
      <c r="AF40" s="40" t="b">
        <f>IF(ISNUMBER(AC40), IF(AE40=$H40,IF(AC40=$F40,IF(AD40=$G40,IF($F40-$G40&gt;=3,6,IF($G40-$F40&gt;=3,6,IF($F40+$G40&gt;=4,6,5))),3),3),0))</f>
        <v>0</v>
      </c>
      <c r="AG40" s="34"/>
      <c r="AH40" s="35"/>
      <c r="AI40" s="39" t="str">
        <f t="shared" si="38"/>
        <v>X</v>
      </c>
      <c r="AJ40" s="40" t="b">
        <f>IF(ISNUMBER(AG40), IF(AI40=$H40,IF(AG40=$F40,IF(AH40=$G40,IF($F40-$G40&gt;=3,6,IF($G40-$F40&gt;=3,6,IF($F40+$G40&gt;=4,6,5))),3),3),0))</f>
        <v>0</v>
      </c>
      <c r="AK40" s="34"/>
      <c r="AL40" s="35"/>
      <c r="AM40" s="39" t="str">
        <f t="shared" si="39"/>
        <v>X</v>
      </c>
      <c r="AN40" s="40" t="b">
        <f>IF(ISNUMBER(AK40), IF(AM40=$H40,IF(AK40=$F40,IF(AL40=$G40,IF($F40-$G40&gt;=3,6,IF($G40-$F40&gt;=3,6,IF($F40+$G40&gt;=4,6,5))),3),3),0))</f>
        <v>0</v>
      </c>
      <c r="AO40" s="34"/>
      <c r="AP40" s="35"/>
      <c r="AQ40" s="39" t="str">
        <f t="shared" si="40"/>
        <v>X</v>
      </c>
      <c r="AR40" s="40" t="b">
        <f>IF(ISNUMBER(AO40), IF(AQ40=$H40,IF(AO40=$F40,IF(AP40=$G40,IF($F40-$G40&gt;=3,6,IF($G40-$F40&gt;=3,6,IF($F40+$G40&gt;=4,6,5))),3),3),0))</f>
        <v>0</v>
      </c>
      <c r="AS40" s="34"/>
      <c r="AT40" s="35"/>
      <c r="AU40" s="39" t="str">
        <f t="shared" si="41"/>
        <v>X</v>
      </c>
      <c r="AV40" s="40" t="b">
        <f>IF(ISNUMBER(AS40), IF(AU40=$H40,IF(AS40=$F40,IF(AT40=$G40,IF($F40-$G40&gt;=3,6,IF($G40-$F40&gt;=3,6,IF($F40+$G40&gt;=4,6,5))),3),3),0))</f>
        <v>0</v>
      </c>
      <c r="AW40" s="34"/>
      <c r="AX40" s="35"/>
      <c r="AY40" s="39" t="str">
        <f t="shared" si="42"/>
        <v>X</v>
      </c>
      <c r="AZ40" s="40" t="b">
        <f>IF(ISNUMBER(AW40), IF(AY40=$H40,IF(AW40=$F40,IF(AX40=$G40,IF($F40-$G40&gt;=3,6,IF($G40-$F40&gt;=3,6,IF($F40+$G40&gt;=4,6,5))),3),3),0))</f>
        <v>0</v>
      </c>
      <c r="BA40" s="34"/>
      <c r="BB40" s="35"/>
      <c r="BC40" s="39" t="str">
        <f t="shared" si="43"/>
        <v>X</v>
      </c>
      <c r="BD40" s="40" t="b">
        <f>IF(ISNUMBER(BA40), IF(BC40=$H40,IF(BA40=$F40,IF(BB40=$G40,IF($F40-$G40&gt;=3,6,IF($G40-$F40&gt;=3,6,IF($F40+$G40&gt;=4,6,5))),3),3),0))</f>
        <v>0</v>
      </c>
      <c r="BE40" s="34"/>
      <c r="BF40" s="35"/>
      <c r="BG40" s="39" t="str">
        <f t="shared" si="44"/>
        <v>X</v>
      </c>
      <c r="BH40" s="40" t="b">
        <f>IF(ISNUMBER(BE40), IF(BG40=$H40,IF(BE40=$F40,IF(BF40=$G40,IF($F40-$G40&gt;=3,6,IF($G40-$F40&gt;=3,6,IF($F40+$G40&gt;=4,6,5))),3),3),0))</f>
        <v>0</v>
      </c>
      <c r="BI40" s="34"/>
      <c r="BJ40" s="35"/>
      <c r="BK40" s="39" t="str">
        <f t="shared" si="45"/>
        <v>X</v>
      </c>
      <c r="BL40" s="40" t="b">
        <f>IF(ISNUMBER(BI40), IF(BK40=$H40,IF(BI40=$F40,IF(BJ40=$G40,IF($F40-$G40&gt;=3,6,IF($G40-$F40&gt;=3,6,IF($F40+$G40&gt;=4,6,5))),3),3),0))</f>
        <v>0</v>
      </c>
      <c r="BM40" s="37"/>
      <c r="BN40" s="38"/>
      <c r="BO40" s="39" t="str">
        <f t="shared" si="46"/>
        <v>X</v>
      </c>
      <c r="BP40" s="40" t="b">
        <f>IF(ISNUMBER(BM40), IF(BO40=$H40,IF(BM40=$F40,IF(BN40=$G40,IF($F40-$G40&gt;=3,6,IF($G40-$F40&gt;=3,6,IF($F40+$G40&gt;=4,6,5))),3),3),0))</f>
        <v>0</v>
      </c>
      <c r="BQ40" s="37"/>
      <c r="BR40" s="38"/>
      <c r="BS40" s="39" t="str">
        <f t="shared" si="47"/>
        <v>X</v>
      </c>
      <c r="BT40" s="40" t="b">
        <f>IF(ISNUMBER(BQ40), IF(BS40=$H40,IF(BQ40=$F40,IF(BR40=$G40,IF($F40-$G40&gt;=3,6,IF($G40-$F40&gt;=3,6,IF($F40+$G40&gt;=4,6,5))),3),3),0))</f>
        <v>0</v>
      </c>
      <c r="BU40" s="34"/>
      <c r="BV40" s="35"/>
      <c r="BW40" s="39" t="str">
        <f t="shared" si="48"/>
        <v>X</v>
      </c>
      <c r="BX40" s="40" t="b">
        <f>IF(ISNUMBER(BU40), IF(BW40=$H40,IF(BU40=$F40,IF(BV40=$G40,IF($F40-$G40&gt;=3,6,IF($G40-$F40&gt;=3,6,IF($F40+$G40&gt;=4,6,5))),3),3),0))</f>
        <v>0</v>
      </c>
      <c r="BY40" s="34"/>
      <c r="BZ40" s="35"/>
      <c r="CA40" s="39" t="str">
        <f t="shared" si="49"/>
        <v>X</v>
      </c>
      <c r="CB40" s="40" t="b">
        <f>IF(ISNUMBER(BY40), IF(CA40=$H40,IF(BY40=$F40,IF(BZ40=$G40,IF($F40-$G40&gt;=3,6,IF($G40-$F40&gt;=3,6,IF($F40+$G40&gt;=4,6,5))),3),3),0))</f>
        <v>0</v>
      </c>
      <c r="CC40" s="34"/>
      <c r="CD40" s="35"/>
      <c r="CE40" s="39" t="str">
        <f t="shared" si="50"/>
        <v>X</v>
      </c>
      <c r="CF40" s="40" t="b">
        <f>IF(ISNUMBER(CC40), IF(CE40=$H40,IF(CC40=$F40,IF(CD40=$G40,IF($F40-$G40&gt;=3,6,IF($G40-$F40&gt;=3,6,IF($F40+$G40&gt;=4,6,5))),3),3),0))</f>
        <v>0</v>
      </c>
      <c r="CG40" s="34"/>
      <c r="CH40" s="35"/>
      <c r="CI40" s="39" t="str">
        <f t="shared" si="51"/>
        <v>X</v>
      </c>
      <c r="CJ40" s="40" t="b">
        <f>IF(ISNUMBER(CG40), IF(CI40=$H40,IF(CG40=$F40,IF(CH40=$G40,IF($F40-$G40&gt;=3,6,IF($G40-$F40&gt;=3,6,IF($F40+$G40&gt;=4,6,5))),3),3),0))</f>
        <v>0</v>
      </c>
      <c r="CK40" s="34"/>
      <c r="CL40" s="35"/>
      <c r="CM40" s="39" t="str">
        <f t="shared" si="52"/>
        <v>X</v>
      </c>
      <c r="CN40" s="40" t="b">
        <f>IF(ISNUMBER(CK40), IF(CM40=$H40,IF(CK40=$F40,IF(CL40=$G40,IF($F40-$G40&gt;=3,6,IF($G40-$F40&gt;=3,6,IF($F40+$G40&gt;=4,6,5))),3),3),0))</f>
        <v>0</v>
      </c>
      <c r="CO40" s="34"/>
      <c r="CP40" s="35"/>
      <c r="CQ40" s="39" t="str">
        <f t="shared" si="53"/>
        <v>X</v>
      </c>
      <c r="CR40" s="40" t="b">
        <f>IF(ISNUMBER(CO40), IF(CQ40=$H40,IF(CO40=$F40,IF(CP40=$G40,IF($F40-$G40&gt;=3,6,IF($G40-$F40&gt;=3,6,IF($F40+$G40&gt;=4,6,5))),3),3),0))</f>
        <v>0</v>
      </c>
      <c r="CS40" s="34"/>
      <c r="CT40" s="35"/>
      <c r="CU40" s="39" t="str">
        <f t="shared" si="54"/>
        <v>X</v>
      </c>
      <c r="CV40" s="40" t="b">
        <f>IF(ISNUMBER(CS40), IF(CU40=$H40,IF(CS40=$F40,IF(CT40=$G40,IF($F40-$G40&gt;=3,6,IF($G40-$F40&gt;=3,6,IF($F40+$G40&gt;=4,6,5))),3),3),0))</f>
        <v>0</v>
      </c>
      <c r="CW40" s="34"/>
      <c r="CX40" s="35"/>
      <c r="CY40" s="39" t="str">
        <f t="shared" si="55"/>
        <v>X</v>
      </c>
      <c r="CZ40" s="40" t="b">
        <f>IF(ISNUMBER(CW40), IF(CY40=$H40,IF(CW40=$F40,IF(CX40=$G40,IF($F40-$G40&gt;=3,6,IF($G40-$F40&gt;=3,6,IF($F40+$G40&gt;=4,6,5))),3),3),0))</f>
        <v>0</v>
      </c>
      <c r="DA40" s="34"/>
      <c r="DB40" s="35"/>
      <c r="DC40" s="39" t="str">
        <f t="shared" si="56"/>
        <v>X</v>
      </c>
      <c r="DD40" s="40" t="b">
        <f>IF(ISNUMBER(DA40), IF(DC40=$H40,IF(DA40=$F40,IF(DB40=$G40,IF($F40-$G40&gt;=3,6,IF($G40-$F40&gt;=3,6,IF($F40+$G40&gt;=4,6,5))),3),3),0))</f>
        <v>0</v>
      </c>
      <c r="DE40" s="34"/>
      <c r="DF40" s="35"/>
      <c r="DG40" s="39" t="str">
        <f t="shared" si="57"/>
        <v>X</v>
      </c>
      <c r="DH40" s="40" t="b">
        <f>IF(ISNUMBER(DE40), IF(DG40=$H40,IF(DE40=$F40,IF(DF40=$G40,IF($F40-$G40&gt;=3,6,IF($G40-$F40&gt;=3,6,IF($F40+$G40&gt;=4,6,5))),3),3),0))</f>
        <v>0</v>
      </c>
      <c r="DI40" s="34"/>
      <c r="DJ40" s="35"/>
      <c r="DK40" s="39" t="str">
        <f t="shared" si="58"/>
        <v>X</v>
      </c>
      <c r="DL40" s="40" t="b">
        <f>IF(ISNUMBER(DI40), IF(DK40=$H40,IF(DI40=$F40,IF(DJ40=$G40,IF($F40-$G40&gt;=3,6,IF($G40-$F40&gt;=3,6,IF($F40+$G40&gt;=4,6,5))),3),3),0))</f>
        <v>0</v>
      </c>
      <c r="DM40" s="34"/>
      <c r="DN40" s="35"/>
      <c r="DO40" s="39" t="str">
        <f t="shared" si="29"/>
        <v>X</v>
      </c>
      <c r="DP40" s="40" t="b">
        <f>IF(ISNUMBER(DM40), IF(DO40=$H40,IF(DM40=$F40,IF(DN40=$G40,IF($F40-$G40&gt;=3,6,IF($G40-$F40&gt;=3,6,IF($F40+$G40&gt;=4,6,5))),3),3),0))</f>
        <v>0</v>
      </c>
    </row>
    <row r="41" spans="1:120" ht="13" customHeight="1" thickBot="1">
      <c r="A41" s="41"/>
      <c r="B41" s="42"/>
      <c r="C41" s="43"/>
      <c r="D41" s="44" t="s">
        <v>142</v>
      </c>
      <c r="E41" s="33">
        <f t="shared" si="30"/>
        <v>0</v>
      </c>
      <c r="F41" s="45"/>
      <c r="G41" s="46"/>
      <c r="H41" s="47" t="b">
        <f t="shared" si="31"/>
        <v>0</v>
      </c>
      <c r="I41" s="45"/>
      <c r="J41" s="46"/>
      <c r="K41" s="50" t="str">
        <f t="shared" si="32"/>
        <v>X</v>
      </c>
      <c r="L41" s="51" t="b">
        <f>IF(ISNUMBER(I41), IF(K41=$H41,IF(I41=$F41,IF(J41=$G41,2,1),1),0))</f>
        <v>0</v>
      </c>
      <c r="M41" s="45"/>
      <c r="N41" s="46"/>
      <c r="O41" s="50" t="str">
        <f t="shared" si="33"/>
        <v>X</v>
      </c>
      <c r="P41" s="51" t="b">
        <f>IF(ISNUMBER(M41), IF(O41=$H41,IF(M41=$F41,IF(N41=$G41,2,1),1),0))</f>
        <v>0</v>
      </c>
      <c r="Q41" s="45"/>
      <c r="R41" s="46"/>
      <c r="S41" s="50" t="str">
        <f t="shared" si="34"/>
        <v>X</v>
      </c>
      <c r="T41" s="51" t="b">
        <f>IF(ISNUMBER(Q41), IF(S41=$H41,IF(Q41=$F41,IF(R41=$G41,2,1),1),0))</f>
        <v>0</v>
      </c>
      <c r="U41" s="45"/>
      <c r="V41" s="46"/>
      <c r="W41" s="50" t="str">
        <f t="shared" si="35"/>
        <v>X</v>
      </c>
      <c r="X41" s="51" t="b">
        <f>IF(ISNUMBER(U41), IF(W41=$H41,IF(U41=$F41,IF(V41=$G41,2,1),1),0))</f>
        <v>0</v>
      </c>
      <c r="Y41" s="45"/>
      <c r="Z41" s="46"/>
      <c r="AA41" s="50" t="str">
        <f t="shared" si="36"/>
        <v>X</v>
      </c>
      <c r="AB41" s="51" t="b">
        <f>IF(ISNUMBER(Y41), IF(AA41=$H41,IF(Y41=$F41,IF(Z41=$G41,2,1),1),0))</f>
        <v>0</v>
      </c>
      <c r="AC41" s="45"/>
      <c r="AD41" s="46"/>
      <c r="AE41" s="50" t="str">
        <f t="shared" si="37"/>
        <v>X</v>
      </c>
      <c r="AF41" s="51" t="b">
        <f>IF(ISNUMBER(AC41), IF(AE41=$H41,IF(AC41=$F41,IF(AD41=$G41,2,1),1),0))</f>
        <v>0</v>
      </c>
      <c r="AG41" s="45"/>
      <c r="AH41" s="46"/>
      <c r="AI41" s="50" t="str">
        <f t="shared" si="38"/>
        <v>X</v>
      </c>
      <c r="AJ41" s="51" t="b">
        <f>IF(ISNUMBER(AG41), IF(AI41=$H41,IF(AG41=$F41,IF(AH41=$G41,2,1),1),0))</f>
        <v>0</v>
      </c>
      <c r="AK41" s="45"/>
      <c r="AL41" s="46"/>
      <c r="AM41" s="50" t="str">
        <f t="shared" si="39"/>
        <v>X</v>
      </c>
      <c r="AN41" s="51" t="b">
        <f>IF(ISNUMBER(AK41), IF(AM41=$H41,IF(AK41=$F41,IF(AL41=$G41,2,1),1),0))</f>
        <v>0</v>
      </c>
      <c r="AO41" s="45"/>
      <c r="AP41" s="46"/>
      <c r="AQ41" s="50" t="str">
        <f t="shared" si="40"/>
        <v>X</v>
      </c>
      <c r="AR41" s="51" t="b">
        <f>IF(ISNUMBER(AO41), IF(AQ41=$H41,IF(AO41=$F41,IF(AP41=$G41,2,1),1),0))</f>
        <v>0</v>
      </c>
      <c r="AS41" s="45"/>
      <c r="AT41" s="46"/>
      <c r="AU41" s="50" t="str">
        <f t="shared" si="41"/>
        <v>X</v>
      </c>
      <c r="AV41" s="51" t="b">
        <f>IF(ISNUMBER(AS41), IF(AU41=$H41,IF(AS41=$F41,IF(AT41=$G41,2,1),1),0))</f>
        <v>0</v>
      </c>
      <c r="AW41" s="45"/>
      <c r="AX41" s="46"/>
      <c r="AY41" s="50" t="str">
        <f t="shared" si="42"/>
        <v>X</v>
      </c>
      <c r="AZ41" s="51" t="b">
        <f>IF(ISNUMBER(AW41), IF(AY41=$H41,IF(AW41=$F41,IF(AX41=$G41,2,1),1),0))</f>
        <v>0</v>
      </c>
      <c r="BA41" s="45"/>
      <c r="BB41" s="46"/>
      <c r="BC41" s="50" t="str">
        <f t="shared" si="43"/>
        <v>X</v>
      </c>
      <c r="BD41" s="51" t="b">
        <f>IF(ISNUMBER(BA41), IF(BC41=$H41,IF(BA41=$F41,IF(BB41=$G41,2,1),1),0))</f>
        <v>0</v>
      </c>
      <c r="BE41" s="45"/>
      <c r="BF41" s="46"/>
      <c r="BG41" s="50" t="str">
        <f t="shared" si="44"/>
        <v>X</v>
      </c>
      <c r="BH41" s="51" t="b">
        <f>IF(ISNUMBER(BE41), IF(BG41=$H41,IF(BE41=$F41,IF(BF41=$G41,2,1),1),0))</f>
        <v>0</v>
      </c>
      <c r="BI41" s="45"/>
      <c r="BJ41" s="46"/>
      <c r="BK41" s="50" t="str">
        <f t="shared" si="45"/>
        <v>X</v>
      </c>
      <c r="BL41" s="51" t="b">
        <f>IF(ISNUMBER(BI41), IF(BK41=$H41,IF(BI41=$F41,IF(BJ41=$G41,2,1),1),0))</f>
        <v>0</v>
      </c>
      <c r="BM41" s="48"/>
      <c r="BN41" s="49"/>
      <c r="BO41" s="50" t="str">
        <f t="shared" si="46"/>
        <v>X</v>
      </c>
      <c r="BP41" s="51" t="b">
        <f>IF(ISNUMBER(BM41), IF(BO41=$H41,IF(BM41=$F41,IF(BN41=$G41,2,1),1),0))</f>
        <v>0</v>
      </c>
      <c r="BQ41" s="48"/>
      <c r="BR41" s="49"/>
      <c r="BS41" s="50" t="str">
        <f t="shared" si="47"/>
        <v>X</v>
      </c>
      <c r="BT41" s="51" t="b">
        <f>IF(ISNUMBER(BQ41), IF(BS41=$H41,IF(BQ41=$F41,IF(BR41=$G41,2,1),1),0))</f>
        <v>0</v>
      </c>
      <c r="BU41" s="45"/>
      <c r="BV41" s="46"/>
      <c r="BW41" s="50" t="str">
        <f t="shared" si="48"/>
        <v>X</v>
      </c>
      <c r="BX41" s="51" t="b">
        <f>IF(ISNUMBER(BU41), IF(BW41=$H41,IF(BU41=$F41,IF(BV41=$G41,2,1),1),0))</f>
        <v>0</v>
      </c>
      <c r="BY41" s="45"/>
      <c r="BZ41" s="46"/>
      <c r="CA41" s="50" t="str">
        <f t="shared" si="49"/>
        <v>X</v>
      </c>
      <c r="CB41" s="51" t="b">
        <f>IF(ISNUMBER(BY41), IF(CA41=$H41,IF(BY41=$F41,IF(BZ41=$G41,2,1),1),0))</f>
        <v>0</v>
      </c>
      <c r="CC41" s="45"/>
      <c r="CD41" s="46"/>
      <c r="CE41" s="50" t="str">
        <f t="shared" si="50"/>
        <v>X</v>
      </c>
      <c r="CF41" s="51" t="b">
        <f>IF(ISNUMBER(CC41), IF(CE41=$H41,IF(CC41=$F41,IF(CD41=$G41,2,1),1),0))</f>
        <v>0</v>
      </c>
      <c r="CG41" s="45"/>
      <c r="CH41" s="46"/>
      <c r="CI41" s="50" t="str">
        <f t="shared" si="51"/>
        <v>X</v>
      </c>
      <c r="CJ41" s="51" t="b">
        <f>IF(ISNUMBER(CG41), IF(CI41=$H41,IF(CG41=$F41,IF(CH41=$G41,2,1),1),0))</f>
        <v>0</v>
      </c>
      <c r="CK41" s="45"/>
      <c r="CL41" s="46"/>
      <c r="CM41" s="50" t="str">
        <f t="shared" si="52"/>
        <v>X</v>
      </c>
      <c r="CN41" s="51" t="b">
        <f>IF(ISNUMBER(CK41), IF(CM41=$H41,IF(CK41=$F41,IF(CL41=$G41,2,1),1),0))</f>
        <v>0</v>
      </c>
      <c r="CO41" s="45"/>
      <c r="CP41" s="46"/>
      <c r="CQ41" s="50" t="str">
        <f t="shared" si="53"/>
        <v>X</v>
      </c>
      <c r="CR41" s="51" t="b">
        <f>IF(ISNUMBER(CO41), IF(CQ41=$H41,IF(CO41=$F41,IF(CP41=$G41,2,1),1),0))</f>
        <v>0</v>
      </c>
      <c r="CS41" s="45"/>
      <c r="CT41" s="46"/>
      <c r="CU41" s="50" t="str">
        <f t="shared" si="54"/>
        <v>X</v>
      </c>
      <c r="CV41" s="51" t="b">
        <f>IF(ISNUMBER(CS41), IF(CU41=$H41,IF(CS41=$F41,IF(CT41=$G41,2,1),1),0))</f>
        <v>0</v>
      </c>
      <c r="CW41" s="45"/>
      <c r="CX41" s="46"/>
      <c r="CY41" s="50" t="str">
        <f t="shared" si="55"/>
        <v>X</v>
      </c>
      <c r="CZ41" s="51" t="b">
        <f>IF(ISNUMBER(CW41), IF(CY41=$H41,IF(CW41=$F41,IF(CX41=$G41,2,1),1),0))</f>
        <v>0</v>
      </c>
      <c r="DA41" s="45"/>
      <c r="DB41" s="46"/>
      <c r="DC41" s="50" t="str">
        <f t="shared" si="56"/>
        <v>X</v>
      </c>
      <c r="DD41" s="51" t="b">
        <f>IF(ISNUMBER(DA41), IF(DC41=$H41,IF(DA41=$F41,IF(DB41=$G41,2,1),1),0))</f>
        <v>0</v>
      </c>
      <c r="DE41" s="45"/>
      <c r="DF41" s="46"/>
      <c r="DG41" s="50" t="str">
        <f t="shared" si="57"/>
        <v>X</v>
      </c>
      <c r="DH41" s="51" t="b">
        <f>IF(ISNUMBER(DE41), IF(DG41=$H41,IF(DE41=$F41,IF(DF41=$G41,2,1),1),0))</f>
        <v>0</v>
      </c>
      <c r="DI41" s="45"/>
      <c r="DJ41" s="46"/>
      <c r="DK41" s="50" t="str">
        <f t="shared" si="58"/>
        <v>X</v>
      </c>
      <c r="DL41" s="51" t="b">
        <f>IF(ISNUMBER(DI41), IF(DK41=$H41,IF(DI41=$F41,IF(DJ41=$G41,2,1),1),0))</f>
        <v>0</v>
      </c>
      <c r="DM41" s="45"/>
      <c r="DN41" s="46"/>
      <c r="DO41" s="50" t="str">
        <f t="shared" si="29"/>
        <v>X</v>
      </c>
      <c r="DP41" s="51" t="b">
        <f>IF(ISNUMBER(DM41), IF(DO41=$H41,IF(DM41=$F41,IF(DN41=$G41,2,1),1),0))</f>
        <v>0</v>
      </c>
    </row>
    <row r="42" spans="1:120" ht="13" customHeight="1" thickBot="1">
      <c r="A42" s="41"/>
      <c r="B42" s="42"/>
      <c r="C42" s="43"/>
      <c r="D42" s="44" t="s">
        <v>143</v>
      </c>
      <c r="E42" s="33">
        <f t="shared" si="30"/>
        <v>0</v>
      </c>
      <c r="F42" s="45"/>
      <c r="G42" s="46"/>
      <c r="H42" s="47" t="b">
        <f t="shared" si="31"/>
        <v>0</v>
      </c>
      <c r="I42" s="45"/>
      <c r="J42" s="46"/>
      <c r="K42" s="50" t="str">
        <f t="shared" si="32"/>
        <v>X</v>
      </c>
      <c r="L42" s="51" t="b">
        <f>IF(ISNUMBER(I42), IF(K42=$H42,IF(I42=$F42,IF(J42=$G42,2,1),1),0))</f>
        <v>0</v>
      </c>
      <c r="M42" s="45"/>
      <c r="N42" s="46"/>
      <c r="O42" s="50" t="str">
        <f t="shared" si="33"/>
        <v>X</v>
      </c>
      <c r="P42" s="51" t="b">
        <f>IF(ISNUMBER(M42), IF(O42=$H42,IF(M42=$F42,IF(N42=$G42,2,1),1),0))</f>
        <v>0</v>
      </c>
      <c r="Q42" s="45"/>
      <c r="R42" s="46"/>
      <c r="S42" s="50" t="str">
        <f t="shared" si="34"/>
        <v>X</v>
      </c>
      <c r="T42" s="51" t="b">
        <f>IF(ISNUMBER(Q42), IF(S42=$H42,IF(Q42=$F42,IF(R42=$G42,2,1),1),0))</f>
        <v>0</v>
      </c>
      <c r="U42" s="45"/>
      <c r="V42" s="46"/>
      <c r="W42" s="50" t="str">
        <f t="shared" si="35"/>
        <v>X</v>
      </c>
      <c r="X42" s="51" t="b">
        <f>IF(ISNUMBER(U42), IF(W42=$H42,IF(U42=$F42,IF(V42=$G42,2,1),1),0))</f>
        <v>0</v>
      </c>
      <c r="Y42" s="45"/>
      <c r="Z42" s="46"/>
      <c r="AA42" s="50" t="str">
        <f t="shared" si="36"/>
        <v>X</v>
      </c>
      <c r="AB42" s="51" t="b">
        <f>IF(ISNUMBER(Y42), IF(AA42=$H42,IF(Y42=$F42,IF(Z42=$G42,2,1),1),0))</f>
        <v>0</v>
      </c>
      <c r="AC42" s="45"/>
      <c r="AD42" s="46"/>
      <c r="AE42" s="50" t="str">
        <f t="shared" si="37"/>
        <v>X</v>
      </c>
      <c r="AF42" s="51" t="b">
        <f>IF(ISNUMBER(AC42), IF(AE42=$H42,IF(AC42=$F42,IF(AD42=$G42,2,1),1),0))</f>
        <v>0</v>
      </c>
      <c r="AG42" s="45"/>
      <c r="AH42" s="46"/>
      <c r="AI42" s="50" t="str">
        <f t="shared" si="38"/>
        <v>X</v>
      </c>
      <c r="AJ42" s="51" t="b">
        <f>IF(ISNUMBER(AG42), IF(AI42=$H42,IF(AG42=$F42,IF(AH42=$G42,2,1),1),0))</f>
        <v>0</v>
      </c>
      <c r="AK42" s="45"/>
      <c r="AL42" s="46"/>
      <c r="AM42" s="50" t="str">
        <f t="shared" si="39"/>
        <v>X</v>
      </c>
      <c r="AN42" s="51" t="b">
        <f>IF(ISNUMBER(AK42), IF(AM42=$H42,IF(AK42=$F42,IF(AL42=$G42,2,1),1),0))</f>
        <v>0</v>
      </c>
      <c r="AO42" s="45"/>
      <c r="AP42" s="46"/>
      <c r="AQ42" s="50" t="str">
        <f t="shared" si="40"/>
        <v>X</v>
      </c>
      <c r="AR42" s="51" t="b">
        <f>IF(ISNUMBER(AO42), IF(AQ42=$H42,IF(AO42=$F42,IF(AP42=$G42,2,1),1),0))</f>
        <v>0</v>
      </c>
      <c r="AS42" s="45"/>
      <c r="AT42" s="46"/>
      <c r="AU42" s="50" t="str">
        <f t="shared" si="41"/>
        <v>X</v>
      </c>
      <c r="AV42" s="51" t="b">
        <f>IF(ISNUMBER(AS42), IF(AU42=$H42,IF(AS42=$F42,IF(AT42=$G42,2,1),1),0))</f>
        <v>0</v>
      </c>
      <c r="AW42" s="45"/>
      <c r="AX42" s="46"/>
      <c r="AY42" s="50" t="str">
        <f t="shared" si="42"/>
        <v>X</v>
      </c>
      <c r="AZ42" s="51" t="b">
        <f>IF(ISNUMBER(AW42), IF(AY42=$H42,IF(AW42=$F42,IF(AX42=$G42,2,1),1),0))</f>
        <v>0</v>
      </c>
      <c r="BA42" s="45"/>
      <c r="BB42" s="46"/>
      <c r="BC42" s="50" t="str">
        <f t="shared" si="43"/>
        <v>X</v>
      </c>
      <c r="BD42" s="51" t="b">
        <f>IF(ISNUMBER(BA42), IF(BC42=$H42,IF(BA42=$F42,IF(BB42=$G42,2,1),1),0))</f>
        <v>0</v>
      </c>
      <c r="BE42" s="45"/>
      <c r="BF42" s="46"/>
      <c r="BG42" s="50" t="str">
        <f t="shared" si="44"/>
        <v>X</v>
      </c>
      <c r="BH42" s="51" t="b">
        <f>IF(ISNUMBER(BE42), IF(BG42=$H42,IF(BE42=$F42,IF(BF42=$G42,2,1),1),0))</f>
        <v>0</v>
      </c>
      <c r="BI42" s="45"/>
      <c r="BJ42" s="46"/>
      <c r="BK42" s="50" t="str">
        <f t="shared" si="45"/>
        <v>X</v>
      </c>
      <c r="BL42" s="51" t="b">
        <f>IF(ISNUMBER(BI42), IF(BK42=$H42,IF(BI42=$F42,IF(BJ42=$G42,2,1),1),0))</f>
        <v>0</v>
      </c>
      <c r="BM42" s="48"/>
      <c r="BN42" s="49"/>
      <c r="BO42" s="50" t="str">
        <f t="shared" si="46"/>
        <v>X</v>
      </c>
      <c r="BP42" s="51" t="b">
        <f>IF(ISNUMBER(BM42), IF(BO42=$H42,IF(BM42=$F42,IF(BN42=$G42,2,1),1),0))</f>
        <v>0</v>
      </c>
      <c r="BQ42" s="48"/>
      <c r="BR42" s="49"/>
      <c r="BS42" s="50" t="str">
        <f t="shared" si="47"/>
        <v>X</v>
      </c>
      <c r="BT42" s="51" t="b">
        <f>IF(ISNUMBER(BQ42), IF(BS42=$H42,IF(BQ42=$F42,IF(BR42=$G42,2,1),1),0))</f>
        <v>0</v>
      </c>
      <c r="BU42" s="45"/>
      <c r="BV42" s="46"/>
      <c r="BW42" s="50" t="str">
        <f t="shared" si="48"/>
        <v>X</v>
      </c>
      <c r="BX42" s="51" t="b">
        <f>IF(ISNUMBER(BU42), IF(BW42=$H42,IF(BU42=$F42,IF(BV42=$G42,2,1),1),0))</f>
        <v>0</v>
      </c>
      <c r="BY42" s="45"/>
      <c r="BZ42" s="46"/>
      <c r="CA42" s="50" t="str">
        <f t="shared" si="49"/>
        <v>X</v>
      </c>
      <c r="CB42" s="51" t="b">
        <f>IF(ISNUMBER(BY42), IF(CA42=$H42,IF(BY42=$F42,IF(BZ42=$G42,2,1),1),0))</f>
        <v>0</v>
      </c>
      <c r="CC42" s="45"/>
      <c r="CD42" s="46"/>
      <c r="CE42" s="50" t="str">
        <f t="shared" si="50"/>
        <v>X</v>
      </c>
      <c r="CF42" s="51" t="b">
        <f>IF(ISNUMBER(CC42), IF(CE42=$H42,IF(CC42=$F42,IF(CD42=$G42,2,1),1),0))</f>
        <v>0</v>
      </c>
      <c r="CG42" s="45"/>
      <c r="CH42" s="46"/>
      <c r="CI42" s="50" t="str">
        <f t="shared" si="51"/>
        <v>X</v>
      </c>
      <c r="CJ42" s="51" t="b">
        <f>IF(ISNUMBER(CG42), IF(CI42=$H42,IF(CG42=$F42,IF(CH42=$G42,2,1),1),0))</f>
        <v>0</v>
      </c>
      <c r="CK42" s="45"/>
      <c r="CL42" s="46"/>
      <c r="CM42" s="50" t="str">
        <f t="shared" si="52"/>
        <v>X</v>
      </c>
      <c r="CN42" s="51" t="b">
        <f>IF(ISNUMBER(CK42), IF(CM42=$H42,IF(CK42=$F42,IF(CL42=$G42,2,1),1),0))</f>
        <v>0</v>
      </c>
      <c r="CO42" s="45"/>
      <c r="CP42" s="46"/>
      <c r="CQ42" s="50" t="str">
        <f t="shared" si="53"/>
        <v>X</v>
      </c>
      <c r="CR42" s="51" t="b">
        <f>IF(ISNUMBER(CO42), IF(CQ42=$H42,IF(CO42=$F42,IF(CP42=$G42,2,1),1),0))</f>
        <v>0</v>
      </c>
      <c r="CS42" s="45"/>
      <c r="CT42" s="46"/>
      <c r="CU42" s="50" t="str">
        <f t="shared" si="54"/>
        <v>X</v>
      </c>
      <c r="CV42" s="51" t="b">
        <f>IF(ISNUMBER(CS42), IF(CU42=$H42,IF(CS42=$F42,IF(CT42=$G42,2,1),1),0))</f>
        <v>0</v>
      </c>
      <c r="CW42" s="45"/>
      <c r="CX42" s="46"/>
      <c r="CY42" s="50" t="str">
        <f t="shared" si="55"/>
        <v>X</v>
      </c>
      <c r="CZ42" s="51" t="b">
        <f>IF(ISNUMBER(CW42), IF(CY42=$H42,IF(CW42=$F42,IF(CX42=$G42,2,1),1),0))</f>
        <v>0</v>
      </c>
      <c r="DA42" s="45"/>
      <c r="DB42" s="46"/>
      <c r="DC42" s="50" t="str">
        <f t="shared" si="56"/>
        <v>X</v>
      </c>
      <c r="DD42" s="51" t="b">
        <f>IF(ISNUMBER(DA42), IF(DC42=$H42,IF(DA42=$F42,IF(DB42=$G42,2,1),1),0))</f>
        <v>0</v>
      </c>
      <c r="DE42" s="45"/>
      <c r="DF42" s="46"/>
      <c r="DG42" s="50" t="str">
        <f t="shared" si="57"/>
        <v>X</v>
      </c>
      <c r="DH42" s="51" t="b">
        <f>IF(ISNUMBER(DE42), IF(DG42=$H42,IF(DE42=$F42,IF(DF42=$G42,2,1),1),0))</f>
        <v>0</v>
      </c>
      <c r="DI42" s="45"/>
      <c r="DJ42" s="46"/>
      <c r="DK42" s="50" t="str">
        <f t="shared" si="58"/>
        <v>X</v>
      </c>
      <c r="DL42" s="51" t="b">
        <f>IF(ISNUMBER(DI42), IF(DK42=$H42,IF(DI42=$F42,IF(DJ42=$G42,2,1),1),0))</f>
        <v>0</v>
      </c>
      <c r="DM42" s="45"/>
      <c r="DN42" s="46"/>
      <c r="DO42" s="50" t="str">
        <f t="shared" si="29"/>
        <v>X</v>
      </c>
      <c r="DP42" s="51" t="b">
        <f>IF(ISNUMBER(DM42), IF(DO42=$H42,IF(DM42=$F42,IF(DN42=$G42,2,1),1),0))</f>
        <v>0</v>
      </c>
    </row>
    <row r="43" spans="1:120" s="25" customFormat="1" ht="13" customHeight="1" thickBot="1">
      <c r="A43" s="52"/>
      <c r="B43" s="53"/>
      <c r="C43" s="54"/>
      <c r="D43" s="55" t="s">
        <v>144</v>
      </c>
      <c r="E43" s="33">
        <f t="shared" si="30"/>
        <v>0</v>
      </c>
      <c r="F43" s="56"/>
      <c r="G43" s="56"/>
      <c r="H43" s="57" t="b">
        <f t="shared" si="31"/>
        <v>0</v>
      </c>
      <c r="I43" s="58">
        <f>SUM(I40:I42)</f>
        <v>0</v>
      </c>
      <c r="J43" s="59">
        <f>SUM(J40:J42)</f>
        <v>0</v>
      </c>
      <c r="K43" s="59" t="str">
        <f t="shared" si="32"/>
        <v>X</v>
      </c>
      <c r="L43" s="60">
        <f>IF($H43=K43,SUM(L40:L42)+1,SUM(L40:L42))</f>
        <v>0</v>
      </c>
      <c r="M43" s="58">
        <f>SUM(M40:M42)</f>
        <v>0</v>
      </c>
      <c r="N43" s="59">
        <f>SUM(N40:N42)</f>
        <v>0</v>
      </c>
      <c r="O43" s="59" t="str">
        <f t="shared" si="33"/>
        <v>X</v>
      </c>
      <c r="P43" s="60">
        <f>IF($H43=O43,SUM(P40:P42)+1,SUM(P40:P42))</f>
        <v>0</v>
      </c>
      <c r="Q43" s="58">
        <f>SUM(Q40:Q42)</f>
        <v>0</v>
      </c>
      <c r="R43" s="59">
        <f>SUM(R40:R42)</f>
        <v>0</v>
      </c>
      <c r="S43" s="59" t="str">
        <f t="shared" si="34"/>
        <v>X</v>
      </c>
      <c r="T43" s="60">
        <f>IF($H43=S43,SUM(T40:T42)+1,SUM(T40:T42))</f>
        <v>0</v>
      </c>
      <c r="U43" s="58">
        <f>SUM(U40:U42)</f>
        <v>0</v>
      </c>
      <c r="V43" s="59">
        <f>SUM(V40:V42)</f>
        <v>0</v>
      </c>
      <c r="W43" s="59" t="str">
        <f t="shared" si="35"/>
        <v>X</v>
      </c>
      <c r="X43" s="60">
        <f>IF($H43=W43,SUM(X40:X42)+1,SUM(X40:X42))</f>
        <v>0</v>
      </c>
      <c r="Y43" s="58">
        <f>SUM(Y40:Y42)</f>
        <v>0</v>
      </c>
      <c r="Z43" s="59">
        <f>SUM(Z40:Z42)</f>
        <v>0</v>
      </c>
      <c r="AA43" s="59" t="str">
        <f t="shared" si="36"/>
        <v>X</v>
      </c>
      <c r="AB43" s="60">
        <f>IF($H43=AA43,SUM(AB40:AB42)+1,SUM(AB40:AB42))</f>
        <v>0</v>
      </c>
      <c r="AC43" s="58">
        <f>SUM(AC40:AC42)</f>
        <v>0</v>
      </c>
      <c r="AD43" s="59">
        <f>SUM(AD40:AD42)</f>
        <v>0</v>
      </c>
      <c r="AE43" s="59" t="str">
        <f t="shared" si="37"/>
        <v>X</v>
      </c>
      <c r="AF43" s="60">
        <f>IF($H43=AE43,SUM(AF40:AF42)+1,SUM(AF40:AF42))</f>
        <v>0</v>
      </c>
      <c r="AG43" s="58">
        <f>SUM(AG40:AG42)</f>
        <v>0</v>
      </c>
      <c r="AH43" s="59">
        <f>SUM(AH40:AH42)</f>
        <v>0</v>
      </c>
      <c r="AI43" s="59" t="str">
        <f t="shared" si="38"/>
        <v>X</v>
      </c>
      <c r="AJ43" s="60">
        <f>IF($H43=AI43,SUM(AJ40:AJ42)+1,SUM(AJ40:AJ42))</f>
        <v>0</v>
      </c>
      <c r="AK43" s="58">
        <f>SUM(AK40:AK42)</f>
        <v>0</v>
      </c>
      <c r="AL43" s="59">
        <f>SUM(AL40:AL42)</f>
        <v>0</v>
      </c>
      <c r="AM43" s="59" t="str">
        <f t="shared" si="39"/>
        <v>X</v>
      </c>
      <c r="AN43" s="60">
        <f>IF($H43=AM43,SUM(AN40:AN42)+1,SUM(AN40:AN42))</f>
        <v>0</v>
      </c>
      <c r="AO43" s="58">
        <f>SUM(AO40:AO42)</f>
        <v>0</v>
      </c>
      <c r="AP43" s="59">
        <f>SUM(AP40:AP42)</f>
        <v>0</v>
      </c>
      <c r="AQ43" s="59" t="str">
        <f t="shared" si="40"/>
        <v>X</v>
      </c>
      <c r="AR43" s="60">
        <f>IF($H43=AQ43,SUM(AR40:AR42)+1,SUM(AR40:AR42))</f>
        <v>0</v>
      </c>
      <c r="AS43" s="58">
        <f>SUM(AS40:AS42)</f>
        <v>0</v>
      </c>
      <c r="AT43" s="59">
        <f>SUM(AT40:AT42)</f>
        <v>0</v>
      </c>
      <c r="AU43" s="59" t="str">
        <f t="shared" si="41"/>
        <v>X</v>
      </c>
      <c r="AV43" s="60">
        <f>IF($H43=AU43,SUM(AV40:AV42)+1,SUM(AV40:AV42))</f>
        <v>0</v>
      </c>
      <c r="AW43" s="58">
        <f>SUM(AW40:AW42)</f>
        <v>0</v>
      </c>
      <c r="AX43" s="59">
        <f>SUM(AX40:AX42)</f>
        <v>0</v>
      </c>
      <c r="AY43" s="59" t="str">
        <f t="shared" si="42"/>
        <v>X</v>
      </c>
      <c r="AZ43" s="60">
        <f>IF($H43=AY43,SUM(AZ40:AZ42)+1,SUM(AZ40:AZ42))</f>
        <v>0</v>
      </c>
      <c r="BA43" s="58">
        <f>SUM(BA40:BA42)</f>
        <v>0</v>
      </c>
      <c r="BB43" s="59">
        <f>SUM(BB40:BB42)</f>
        <v>0</v>
      </c>
      <c r="BC43" s="59" t="str">
        <f t="shared" si="43"/>
        <v>X</v>
      </c>
      <c r="BD43" s="60">
        <f>IF($H43=BC43,SUM(BD40:BD42)+1,SUM(BD40:BD42))</f>
        <v>0</v>
      </c>
      <c r="BE43" s="58">
        <f>SUM(BE40:BE42)</f>
        <v>0</v>
      </c>
      <c r="BF43" s="59">
        <f>SUM(BF40:BF42)</f>
        <v>0</v>
      </c>
      <c r="BG43" s="59" t="str">
        <f t="shared" si="44"/>
        <v>X</v>
      </c>
      <c r="BH43" s="60">
        <f>IF($H43=BG43,SUM(BH40:BH42)+1,SUM(BH40:BH42))</f>
        <v>0</v>
      </c>
      <c r="BI43" s="58">
        <f>SUM(BI40:BI42)</f>
        <v>0</v>
      </c>
      <c r="BJ43" s="59">
        <f>SUM(BJ40:BJ42)</f>
        <v>0</v>
      </c>
      <c r="BK43" s="59" t="str">
        <f t="shared" si="45"/>
        <v>X</v>
      </c>
      <c r="BL43" s="60">
        <f>IF($H43=BK43,SUM(BL40:BL42)+1,SUM(BL40:BL42))</f>
        <v>0</v>
      </c>
      <c r="BM43" s="58">
        <f>SUM(BM40:BM42)</f>
        <v>0</v>
      </c>
      <c r="BN43" s="59">
        <f>SUM(BN40:BN42)</f>
        <v>0</v>
      </c>
      <c r="BO43" s="59" t="str">
        <f t="shared" si="46"/>
        <v>X</v>
      </c>
      <c r="BP43" s="60">
        <f>IF($H43=BO43,SUM(BP40:BP42)+1,SUM(BP40:BP42))</f>
        <v>0</v>
      </c>
      <c r="BQ43" s="58">
        <f>SUM(BQ40:BQ42)</f>
        <v>0</v>
      </c>
      <c r="BR43" s="59">
        <f>SUM(BR40:BR42)</f>
        <v>0</v>
      </c>
      <c r="BS43" s="59" t="str">
        <f t="shared" si="47"/>
        <v>X</v>
      </c>
      <c r="BT43" s="60">
        <f>IF($H43=BS43,SUM(BT40:BT42)+1,SUM(BT40:BT42))</f>
        <v>0</v>
      </c>
      <c r="BU43" s="58">
        <f>SUM(BU40:BU42)</f>
        <v>0</v>
      </c>
      <c r="BV43" s="59">
        <f>SUM(BV40:BV42)</f>
        <v>0</v>
      </c>
      <c r="BW43" s="59" t="str">
        <f t="shared" si="48"/>
        <v>X</v>
      </c>
      <c r="BX43" s="60">
        <f>IF($H43=BW43,SUM(BX40:BX42)+1,SUM(BX40:BX42))</f>
        <v>0</v>
      </c>
      <c r="BY43" s="58">
        <f>SUM(BY40:BY42)</f>
        <v>0</v>
      </c>
      <c r="BZ43" s="59">
        <f>SUM(BZ40:BZ42)</f>
        <v>0</v>
      </c>
      <c r="CA43" s="59" t="str">
        <f t="shared" si="49"/>
        <v>X</v>
      </c>
      <c r="CB43" s="60">
        <f>IF($H43=CA43,SUM(CB40:CB42)+1,SUM(CB40:CB42))</f>
        <v>0</v>
      </c>
      <c r="CC43" s="58">
        <f>SUM(CC40:CC42)</f>
        <v>0</v>
      </c>
      <c r="CD43" s="59">
        <f>SUM(CD40:CD42)</f>
        <v>0</v>
      </c>
      <c r="CE43" s="59" t="str">
        <f t="shared" si="50"/>
        <v>X</v>
      </c>
      <c r="CF43" s="60">
        <f>IF($H43=CE43,SUM(CF40:CF42)+1,SUM(CF40:CF42))</f>
        <v>0</v>
      </c>
      <c r="CG43" s="58">
        <f>SUM(CG40:CG42)</f>
        <v>0</v>
      </c>
      <c r="CH43" s="59">
        <f>SUM(CH40:CH42)</f>
        <v>0</v>
      </c>
      <c r="CI43" s="59" t="str">
        <f t="shared" si="51"/>
        <v>X</v>
      </c>
      <c r="CJ43" s="60">
        <f>IF($H43=CI43,SUM(CJ40:CJ42)+1,SUM(CJ40:CJ42))</f>
        <v>0</v>
      </c>
      <c r="CK43" s="58">
        <f>SUM(CK40:CK42)</f>
        <v>0</v>
      </c>
      <c r="CL43" s="59">
        <f>SUM(CL40:CL42)</f>
        <v>0</v>
      </c>
      <c r="CM43" s="59" t="str">
        <f t="shared" si="52"/>
        <v>X</v>
      </c>
      <c r="CN43" s="60">
        <f>IF($H43=CM43,SUM(CN40:CN42)+1,SUM(CN40:CN42))</f>
        <v>0</v>
      </c>
      <c r="CO43" s="58">
        <f>SUM(CO40:CO42)</f>
        <v>0</v>
      </c>
      <c r="CP43" s="59">
        <f>SUM(CP40:CP42)</f>
        <v>0</v>
      </c>
      <c r="CQ43" s="59" t="str">
        <f t="shared" si="53"/>
        <v>X</v>
      </c>
      <c r="CR43" s="60">
        <f>IF($H43=CQ43,SUM(CR40:CR42)+1,SUM(CR40:CR42))</f>
        <v>0</v>
      </c>
      <c r="CS43" s="58">
        <f>SUM(CS40:CS42)</f>
        <v>0</v>
      </c>
      <c r="CT43" s="59">
        <f>SUM(CT40:CT42)</f>
        <v>0</v>
      </c>
      <c r="CU43" s="59" t="str">
        <f t="shared" si="54"/>
        <v>X</v>
      </c>
      <c r="CV43" s="60">
        <f>IF($H43=CU43,SUM(CV40:CV42)+1,SUM(CV40:CV42))</f>
        <v>0</v>
      </c>
      <c r="CW43" s="58">
        <f>SUM(CW40:CW42)</f>
        <v>0</v>
      </c>
      <c r="CX43" s="59">
        <f>SUM(CX40:CX42)</f>
        <v>0</v>
      </c>
      <c r="CY43" s="59" t="str">
        <f t="shared" si="55"/>
        <v>X</v>
      </c>
      <c r="CZ43" s="60">
        <f>IF($H43=CY43,SUM(CZ40:CZ42)+1,SUM(CZ40:CZ42))</f>
        <v>0</v>
      </c>
      <c r="DA43" s="58">
        <f>SUM(DA40:DA42)</f>
        <v>0</v>
      </c>
      <c r="DB43" s="59">
        <f>SUM(DB40:DB42)</f>
        <v>0</v>
      </c>
      <c r="DC43" s="59" t="str">
        <f t="shared" si="56"/>
        <v>X</v>
      </c>
      <c r="DD43" s="60">
        <f>IF($H43=DC43,SUM(DD40:DD42)+1,SUM(DD40:DD42))</f>
        <v>0</v>
      </c>
      <c r="DE43" s="58">
        <f>SUM(DE40:DE42)</f>
        <v>0</v>
      </c>
      <c r="DF43" s="59">
        <f>SUM(DF40:DF42)</f>
        <v>0</v>
      </c>
      <c r="DG43" s="59" t="str">
        <f t="shared" si="57"/>
        <v>X</v>
      </c>
      <c r="DH43" s="60">
        <f>IF($H43=DG43,SUM(DH40:DH42)+1,SUM(DH40:DH42))</f>
        <v>0</v>
      </c>
      <c r="DI43" s="58">
        <f>SUM(DI40:DI42)</f>
        <v>0</v>
      </c>
      <c r="DJ43" s="59">
        <f>SUM(DJ40:DJ42)</f>
        <v>0</v>
      </c>
      <c r="DK43" s="59" t="str">
        <f t="shared" si="58"/>
        <v>X</v>
      </c>
      <c r="DL43" s="60">
        <f>IF($H43=DK43,SUM(DL40:DL42)+1,SUM(DL40:DL42))</f>
        <v>0</v>
      </c>
      <c r="DM43" s="58">
        <f>SUM(DM40:DM42)</f>
        <v>0</v>
      </c>
      <c r="DN43" s="59">
        <f>SUM(DN40:DN42)</f>
        <v>0</v>
      </c>
      <c r="DO43" s="59" t="str">
        <f t="shared" si="29"/>
        <v>X</v>
      </c>
      <c r="DP43" s="60">
        <f>IF($H43=DO43,SUM(DP40:DP42)+1,SUM(DP40:DP42))</f>
        <v>0</v>
      </c>
    </row>
    <row r="44" spans="1:120" ht="13" customHeight="1" thickBot="1">
      <c r="A44" s="113">
        <f>A40+1</f>
        <v>43443</v>
      </c>
      <c r="B44" s="30" t="s">
        <v>145</v>
      </c>
      <c r="C44" s="31"/>
      <c r="D44" s="32" t="s">
        <v>141</v>
      </c>
      <c r="E44" s="33">
        <f t="shared" si="30"/>
        <v>0</v>
      </c>
      <c r="F44" s="34"/>
      <c r="G44" s="35"/>
      <c r="H44" s="36" t="b">
        <f t="shared" si="31"/>
        <v>0</v>
      </c>
      <c r="I44" s="34"/>
      <c r="J44" s="35"/>
      <c r="K44" s="39" t="str">
        <f t="shared" si="32"/>
        <v>X</v>
      </c>
      <c r="L44" s="40" t="b">
        <f>IF(ISNUMBER(I44), IF(K44=$H44,IF(I44=$F44,IF(J44=$G44,IF($F44-$G44&gt;=3,6,IF($G44-$F44&gt;=3,6,IF($F44+$G44&gt;=4,6,5))),3),3),0))</f>
        <v>0</v>
      </c>
      <c r="M44" s="34"/>
      <c r="N44" s="35"/>
      <c r="O44" s="39" t="str">
        <f t="shared" si="33"/>
        <v>X</v>
      </c>
      <c r="P44" s="40" t="b">
        <f>IF(ISNUMBER(M44), IF(O44=$H44,IF(M44=$F44,IF(N44=$G44,IF($F44-$G44&gt;=3,6,IF($G44-$F44&gt;=3,6,IF($F44+$G44&gt;=4,6,5))),3),3),0))</f>
        <v>0</v>
      </c>
      <c r="Q44" s="34"/>
      <c r="R44" s="35"/>
      <c r="S44" s="39" t="str">
        <f t="shared" si="34"/>
        <v>X</v>
      </c>
      <c r="T44" s="40" t="b">
        <f>IF(ISNUMBER(Q44), IF(S44=$H44,IF(Q44=$F44,IF(R44=$G44,IF($F44-$G44&gt;=3,6,IF($G44-$F44&gt;=3,6,IF($F44+$G44&gt;=4,6,5))),3),3),0))</f>
        <v>0</v>
      </c>
      <c r="U44" s="34"/>
      <c r="V44" s="35"/>
      <c r="W44" s="39" t="str">
        <f t="shared" si="35"/>
        <v>X</v>
      </c>
      <c r="X44" s="40" t="b">
        <f>IF(ISNUMBER(U44), IF(W44=$H44,IF(U44=$F44,IF(V44=$G44,IF($F44-$G44&gt;=3,6,IF($G44-$F44&gt;=3,6,IF($F44+$G44&gt;=4,6,5))),3),3),0))</f>
        <v>0</v>
      </c>
      <c r="Y44" s="34"/>
      <c r="Z44" s="35"/>
      <c r="AA44" s="39" t="str">
        <f t="shared" si="36"/>
        <v>X</v>
      </c>
      <c r="AB44" s="40" t="b">
        <f>IF(ISNUMBER(Y44), IF(AA44=$H44,IF(Y44=$F44,IF(Z44=$G44,IF($F44-$G44&gt;=3,6,IF($G44-$F44&gt;=3,6,IF($F44+$G44&gt;=4,6,5))),3),3),0))</f>
        <v>0</v>
      </c>
      <c r="AC44" s="34"/>
      <c r="AD44" s="35"/>
      <c r="AE44" s="39" t="str">
        <f t="shared" si="37"/>
        <v>X</v>
      </c>
      <c r="AF44" s="40" t="b">
        <f>IF(ISNUMBER(AC44), IF(AE44=$H44,IF(AC44=$F44,IF(AD44=$G44,IF($F44-$G44&gt;=3,6,IF($G44-$F44&gt;=3,6,IF($F44+$G44&gt;=4,6,5))),3),3),0))</f>
        <v>0</v>
      </c>
      <c r="AG44" s="34"/>
      <c r="AH44" s="35"/>
      <c r="AI44" s="39" t="str">
        <f t="shared" si="38"/>
        <v>X</v>
      </c>
      <c r="AJ44" s="40" t="b">
        <f>IF(ISNUMBER(AG44), IF(AI44=$H44,IF(AG44=$F44,IF(AH44=$G44,IF($F44-$G44&gt;=3,6,IF($G44-$F44&gt;=3,6,IF($F44+$G44&gt;=4,6,5))),3),3),0))</f>
        <v>0</v>
      </c>
      <c r="AK44" s="34"/>
      <c r="AL44" s="35"/>
      <c r="AM44" s="39" t="str">
        <f t="shared" si="39"/>
        <v>X</v>
      </c>
      <c r="AN44" s="40" t="b">
        <f>IF(ISNUMBER(AK44), IF(AM44=$H44,IF(AK44=$F44,IF(AL44=$G44,IF($F44-$G44&gt;=3,6,IF($G44-$F44&gt;=3,6,IF($F44+$G44&gt;=4,6,5))),3),3),0))</f>
        <v>0</v>
      </c>
      <c r="AO44" s="34"/>
      <c r="AP44" s="35"/>
      <c r="AQ44" s="39" t="str">
        <f t="shared" si="40"/>
        <v>X</v>
      </c>
      <c r="AR44" s="40" t="b">
        <f>IF(ISNUMBER(AO44), IF(AQ44=$H44,IF(AO44=$F44,IF(AP44=$G44,IF($F44-$G44&gt;=3,6,IF($G44-$F44&gt;=3,6,IF($F44+$G44&gt;=4,6,5))),3),3),0))</f>
        <v>0</v>
      </c>
      <c r="AS44" s="34"/>
      <c r="AT44" s="35"/>
      <c r="AU44" s="39" t="str">
        <f t="shared" si="41"/>
        <v>X</v>
      </c>
      <c r="AV44" s="40" t="b">
        <f>IF(ISNUMBER(AS44), IF(AU44=$H44,IF(AS44=$F44,IF(AT44=$G44,IF($F44-$G44&gt;=3,6,IF($G44-$F44&gt;=3,6,IF($F44+$G44&gt;=4,6,5))),3),3),0))</f>
        <v>0</v>
      </c>
      <c r="AW44" s="34"/>
      <c r="AX44" s="35"/>
      <c r="AY44" s="39" t="str">
        <f t="shared" si="42"/>
        <v>X</v>
      </c>
      <c r="AZ44" s="40" t="b">
        <f>IF(ISNUMBER(AW44), IF(AY44=$H44,IF(AW44=$F44,IF(AX44=$G44,IF($F44-$G44&gt;=3,6,IF($G44-$F44&gt;=3,6,IF($F44+$G44&gt;=4,6,5))),3),3),0))</f>
        <v>0</v>
      </c>
      <c r="BA44" s="34"/>
      <c r="BB44" s="35"/>
      <c r="BC44" s="39" t="str">
        <f t="shared" si="43"/>
        <v>X</v>
      </c>
      <c r="BD44" s="40" t="b">
        <f>IF(ISNUMBER(BA44), IF(BC44=$H44,IF(BA44=$F44,IF(BB44=$G44,IF($F44-$G44&gt;=3,6,IF($G44-$F44&gt;=3,6,IF($F44+$G44&gt;=4,6,5))),3),3),0))</f>
        <v>0</v>
      </c>
      <c r="BE44" s="34"/>
      <c r="BF44" s="35"/>
      <c r="BG44" s="39" t="str">
        <f t="shared" si="44"/>
        <v>X</v>
      </c>
      <c r="BH44" s="40" t="b">
        <f>IF(ISNUMBER(BE44), IF(BG44=$H44,IF(BE44=$F44,IF(BF44=$G44,IF($F44-$G44&gt;=3,6,IF($G44-$F44&gt;=3,6,IF($F44+$G44&gt;=4,6,5))),3),3),0))</f>
        <v>0</v>
      </c>
      <c r="BI44" s="34"/>
      <c r="BJ44" s="35"/>
      <c r="BK44" s="39" t="str">
        <f t="shared" si="45"/>
        <v>X</v>
      </c>
      <c r="BL44" s="40" t="b">
        <f>IF(ISNUMBER(BI44), IF(BK44=$H44,IF(BI44=$F44,IF(BJ44=$G44,IF($F44-$G44&gt;=3,6,IF($G44-$F44&gt;=3,6,IF($F44+$G44&gt;=4,6,5))),3),3),0))</f>
        <v>0</v>
      </c>
      <c r="BM44" s="37"/>
      <c r="BN44" s="38"/>
      <c r="BO44" s="39" t="str">
        <f t="shared" si="46"/>
        <v>X</v>
      </c>
      <c r="BP44" s="40" t="b">
        <f>IF(ISNUMBER(BM44), IF(BO44=$H44,IF(BM44=$F44,IF(BN44=$G44,IF($F44-$G44&gt;=3,6,IF($G44-$F44&gt;=3,6,IF($F44+$G44&gt;=4,6,5))),3),3),0))</f>
        <v>0</v>
      </c>
      <c r="BQ44" s="37"/>
      <c r="BR44" s="38"/>
      <c r="BS44" s="39" t="str">
        <f t="shared" si="47"/>
        <v>X</v>
      </c>
      <c r="BT44" s="40" t="b">
        <f>IF(ISNUMBER(BQ44), IF(BS44=$H44,IF(BQ44=$F44,IF(BR44=$G44,IF($F44-$G44&gt;=3,6,IF($G44-$F44&gt;=3,6,IF($F44+$G44&gt;=4,6,5))),3),3),0))</f>
        <v>0</v>
      </c>
      <c r="BU44" s="34"/>
      <c r="BV44" s="35"/>
      <c r="BW44" s="39" t="str">
        <f t="shared" si="48"/>
        <v>X</v>
      </c>
      <c r="BX44" s="40" t="b">
        <f>IF(ISNUMBER(BU44), IF(BW44=$H44,IF(BU44=$F44,IF(BV44=$G44,IF($F44-$G44&gt;=3,6,IF($G44-$F44&gt;=3,6,IF($F44+$G44&gt;=4,6,5))),3),3),0))</f>
        <v>0</v>
      </c>
      <c r="BY44" s="34"/>
      <c r="BZ44" s="35"/>
      <c r="CA44" s="39" t="str">
        <f t="shared" si="49"/>
        <v>X</v>
      </c>
      <c r="CB44" s="40" t="b">
        <f>IF(ISNUMBER(BY44), IF(CA44=$H44,IF(BY44=$F44,IF(BZ44=$G44,IF($F44-$G44&gt;=3,6,IF($G44-$F44&gt;=3,6,IF($F44+$G44&gt;=4,6,5))),3),3),0))</f>
        <v>0</v>
      </c>
      <c r="CC44" s="34"/>
      <c r="CD44" s="35"/>
      <c r="CE44" s="39" t="str">
        <f t="shared" si="50"/>
        <v>X</v>
      </c>
      <c r="CF44" s="40" t="b">
        <f>IF(ISNUMBER(CC44), IF(CE44=$H44,IF(CC44=$F44,IF(CD44=$G44,IF($F44-$G44&gt;=3,6,IF($G44-$F44&gt;=3,6,IF($F44+$G44&gt;=4,6,5))),3),3),0))</f>
        <v>0</v>
      </c>
      <c r="CG44" s="34"/>
      <c r="CH44" s="35"/>
      <c r="CI44" s="39" t="str">
        <f t="shared" si="51"/>
        <v>X</v>
      </c>
      <c r="CJ44" s="40" t="b">
        <f>IF(ISNUMBER(CG44), IF(CI44=$H44,IF(CG44=$F44,IF(CH44=$G44,IF($F44-$G44&gt;=3,6,IF($G44-$F44&gt;=3,6,IF($F44+$G44&gt;=4,6,5))),3),3),0))</f>
        <v>0</v>
      </c>
      <c r="CK44" s="34"/>
      <c r="CL44" s="35"/>
      <c r="CM44" s="39" t="str">
        <f t="shared" si="52"/>
        <v>X</v>
      </c>
      <c r="CN44" s="40" t="b">
        <f>IF(ISNUMBER(CK44), IF(CM44=$H44,IF(CK44=$F44,IF(CL44=$G44,IF($F44-$G44&gt;=3,6,IF($G44-$F44&gt;=3,6,IF($F44+$G44&gt;=4,6,5))),3),3),0))</f>
        <v>0</v>
      </c>
      <c r="CO44" s="34"/>
      <c r="CP44" s="35"/>
      <c r="CQ44" s="39" t="str">
        <f t="shared" si="53"/>
        <v>X</v>
      </c>
      <c r="CR44" s="40" t="b">
        <f>IF(ISNUMBER(CO44), IF(CQ44=$H44,IF(CO44=$F44,IF(CP44=$G44,IF($F44-$G44&gt;=3,6,IF($G44-$F44&gt;=3,6,IF($F44+$G44&gt;=4,6,5))),3),3),0))</f>
        <v>0</v>
      </c>
      <c r="CS44" s="34"/>
      <c r="CT44" s="35"/>
      <c r="CU44" s="39" t="str">
        <f t="shared" si="54"/>
        <v>X</v>
      </c>
      <c r="CV44" s="40" t="b">
        <f>IF(ISNUMBER(CS44), IF(CU44=$H44,IF(CS44=$F44,IF(CT44=$G44,IF($F44-$G44&gt;=3,6,IF($G44-$F44&gt;=3,6,IF($F44+$G44&gt;=4,6,5))),3),3),0))</f>
        <v>0</v>
      </c>
      <c r="CW44" s="34"/>
      <c r="CX44" s="35"/>
      <c r="CY44" s="39" t="str">
        <f t="shared" si="55"/>
        <v>X</v>
      </c>
      <c r="CZ44" s="40" t="b">
        <f>IF(ISNUMBER(CW44), IF(CY44=$H44,IF(CW44=$F44,IF(CX44=$G44,IF($F44-$G44&gt;=3,6,IF($G44-$F44&gt;=3,6,IF($F44+$G44&gt;=4,6,5))),3),3),0))</f>
        <v>0</v>
      </c>
      <c r="DA44" s="34"/>
      <c r="DB44" s="35"/>
      <c r="DC44" s="39" t="str">
        <f t="shared" si="56"/>
        <v>X</v>
      </c>
      <c r="DD44" s="40" t="b">
        <f>IF(ISNUMBER(DA44), IF(DC44=$H44,IF(DA44=$F44,IF(DB44=$G44,IF($F44-$G44&gt;=3,6,IF($G44-$F44&gt;=3,6,IF($F44+$G44&gt;=4,6,5))),3),3),0))</f>
        <v>0</v>
      </c>
      <c r="DE44" s="34"/>
      <c r="DF44" s="35"/>
      <c r="DG44" s="39" t="str">
        <f t="shared" si="57"/>
        <v>X</v>
      </c>
      <c r="DH44" s="40" t="b">
        <f>IF(ISNUMBER(DE44), IF(DG44=$H44,IF(DE44=$F44,IF(DF44=$G44,IF($F44-$G44&gt;=3,6,IF($G44-$F44&gt;=3,6,IF($F44+$G44&gt;=4,6,5))),3),3),0))</f>
        <v>0</v>
      </c>
      <c r="DI44" s="34"/>
      <c r="DJ44" s="35"/>
      <c r="DK44" s="39" t="str">
        <f t="shared" si="58"/>
        <v>X</v>
      </c>
      <c r="DL44" s="40" t="b">
        <f>IF(ISNUMBER(DI44), IF(DK44=$H44,IF(DI44=$F44,IF(DJ44=$G44,IF($F44-$G44&gt;=3,6,IF($G44-$F44&gt;=3,6,IF($F44+$G44&gt;=4,6,5))),3),3),0))</f>
        <v>0</v>
      </c>
      <c r="DM44" s="34"/>
      <c r="DN44" s="35"/>
      <c r="DO44" s="39" t="str">
        <f t="shared" si="29"/>
        <v>X</v>
      </c>
      <c r="DP44" s="40" t="b">
        <f>IF(ISNUMBER(DM44), IF(DO44=$H44,IF(DM44=$F44,IF(DN44=$G44,IF($F44-$G44&gt;=3,6,IF($G44-$F44&gt;=3,6,IF($F44+$G44&gt;=4,6,5))),3),3),0))</f>
        <v>0</v>
      </c>
    </row>
    <row r="45" spans="1:120" ht="13" customHeight="1" thickBot="1">
      <c r="A45" s="41"/>
      <c r="B45" s="42"/>
      <c r="C45" s="43"/>
      <c r="D45" s="44" t="s">
        <v>142</v>
      </c>
      <c r="E45" s="33">
        <f t="shared" si="30"/>
        <v>0</v>
      </c>
      <c r="F45" s="45"/>
      <c r="G45" s="46"/>
      <c r="H45" s="47" t="b">
        <f t="shared" si="31"/>
        <v>0</v>
      </c>
      <c r="I45" s="81"/>
      <c r="J45" s="82"/>
      <c r="K45" s="50" t="str">
        <f t="shared" si="32"/>
        <v>X</v>
      </c>
      <c r="L45" s="51" t="b">
        <f>IF(ISNUMBER(I45), IF(K45=$H45,IF(I45=$F45,IF(J45=$G45,2,1),1),0))</f>
        <v>0</v>
      </c>
      <c r="M45" s="81"/>
      <c r="N45" s="82"/>
      <c r="O45" s="50" t="str">
        <f t="shared" si="33"/>
        <v>X</v>
      </c>
      <c r="P45" s="51" t="b">
        <f>IF(ISNUMBER(M45), IF(O45=$H45,IF(M45=$F45,IF(N45=$G45,2,1),1),0))</f>
        <v>0</v>
      </c>
      <c r="Q45" s="81"/>
      <c r="R45" s="82"/>
      <c r="S45" s="50" t="str">
        <f t="shared" si="34"/>
        <v>X</v>
      </c>
      <c r="T45" s="51" t="b">
        <f>IF(ISNUMBER(Q45), IF(S45=$H45,IF(Q45=$F45,IF(R45=$G45,2,1),1),0))</f>
        <v>0</v>
      </c>
      <c r="U45" s="81"/>
      <c r="V45" s="82"/>
      <c r="W45" s="50" t="str">
        <f t="shared" si="35"/>
        <v>X</v>
      </c>
      <c r="X45" s="51" t="b">
        <f>IF(ISNUMBER(U45), IF(W45=$H45,IF(U45=$F45,IF(V45=$G45,2,1),1),0))</f>
        <v>0</v>
      </c>
      <c r="Y45" s="81"/>
      <c r="Z45" s="82"/>
      <c r="AA45" s="50" t="str">
        <f t="shared" si="36"/>
        <v>X</v>
      </c>
      <c r="AB45" s="51" t="b">
        <f>IF(ISNUMBER(Y45), IF(AA45=$H45,IF(Y45=$F45,IF(Z45=$G45,2,1),1),0))</f>
        <v>0</v>
      </c>
      <c r="AC45" s="81"/>
      <c r="AD45" s="82"/>
      <c r="AE45" s="50" t="str">
        <f t="shared" si="37"/>
        <v>X</v>
      </c>
      <c r="AF45" s="51" t="b">
        <f>IF(ISNUMBER(AC45), IF(AE45=$H45,IF(AC45=$F45,IF(AD45=$G45,2,1),1),0))</f>
        <v>0</v>
      </c>
      <c r="AG45" s="81"/>
      <c r="AH45" s="82"/>
      <c r="AI45" s="50" t="str">
        <f t="shared" si="38"/>
        <v>X</v>
      </c>
      <c r="AJ45" s="51" t="b">
        <f>IF(ISNUMBER(AG45), IF(AI45=$H45,IF(AG45=$F45,IF(AH45=$G45,2,1),1),0))</f>
        <v>0</v>
      </c>
      <c r="AK45" s="81"/>
      <c r="AL45" s="82"/>
      <c r="AM45" s="50" t="str">
        <f t="shared" si="39"/>
        <v>X</v>
      </c>
      <c r="AN45" s="51" t="b">
        <f>IF(ISNUMBER(AK45), IF(AM45=$H45,IF(AK45=$F45,IF(AL45=$G45,2,1),1),0))</f>
        <v>0</v>
      </c>
      <c r="AO45" s="81"/>
      <c r="AP45" s="82"/>
      <c r="AQ45" s="50" t="str">
        <f t="shared" si="40"/>
        <v>X</v>
      </c>
      <c r="AR45" s="51" t="b">
        <f>IF(ISNUMBER(AO45), IF(AQ45=$H45,IF(AO45=$F45,IF(AP45=$G45,2,1),1),0))</f>
        <v>0</v>
      </c>
      <c r="AS45" s="81"/>
      <c r="AT45" s="82"/>
      <c r="AU45" s="50" t="str">
        <f t="shared" si="41"/>
        <v>X</v>
      </c>
      <c r="AV45" s="51" t="b">
        <f>IF(ISNUMBER(AS45), IF(AU45=$H45,IF(AS45=$F45,IF(AT45=$G45,2,1),1),0))</f>
        <v>0</v>
      </c>
      <c r="AW45" s="81"/>
      <c r="AX45" s="82"/>
      <c r="AY45" s="50" t="str">
        <f t="shared" si="42"/>
        <v>X</v>
      </c>
      <c r="AZ45" s="51" t="b">
        <f>IF(ISNUMBER(AW45), IF(AY45=$H45,IF(AW45=$F45,IF(AX45=$G45,2,1),1),0))</f>
        <v>0</v>
      </c>
      <c r="BA45" s="81"/>
      <c r="BB45" s="82"/>
      <c r="BC45" s="50" t="str">
        <f t="shared" si="43"/>
        <v>X</v>
      </c>
      <c r="BD45" s="51" t="b">
        <f>IF(ISNUMBER(BA45), IF(BC45=$H45,IF(BA45=$F45,IF(BB45=$G45,2,1),1),0))</f>
        <v>0</v>
      </c>
      <c r="BE45" s="81"/>
      <c r="BF45" s="82"/>
      <c r="BG45" s="50" t="str">
        <f t="shared" si="44"/>
        <v>X</v>
      </c>
      <c r="BH45" s="51" t="b">
        <f>IF(ISNUMBER(BE45), IF(BG45=$H45,IF(BE45=$F45,IF(BF45=$G45,2,1),1),0))</f>
        <v>0</v>
      </c>
      <c r="BI45" s="81"/>
      <c r="BJ45" s="82"/>
      <c r="BK45" s="50" t="str">
        <f t="shared" si="45"/>
        <v>X</v>
      </c>
      <c r="BL45" s="51" t="b">
        <f>IF(ISNUMBER(BI45), IF(BK45=$H45,IF(BI45=$F45,IF(BJ45=$G45,2,1),1),0))</f>
        <v>0</v>
      </c>
      <c r="BM45" s="48"/>
      <c r="BN45" s="49"/>
      <c r="BO45" s="50" t="str">
        <f t="shared" si="46"/>
        <v>X</v>
      </c>
      <c r="BP45" s="51" t="b">
        <f>IF(ISNUMBER(BM45), IF(BO45=$H45,IF(BM45=$F45,IF(BN45=$G45,2,1),1),0))</f>
        <v>0</v>
      </c>
      <c r="BQ45" s="48"/>
      <c r="BR45" s="49"/>
      <c r="BS45" s="50" t="str">
        <f t="shared" si="47"/>
        <v>X</v>
      </c>
      <c r="BT45" s="51" t="b">
        <f>IF(ISNUMBER(BQ45), IF(BS45=$H45,IF(BQ45=$F45,IF(BR45=$G45,2,1),1),0))</f>
        <v>0</v>
      </c>
      <c r="BU45" s="81"/>
      <c r="BV45" s="82"/>
      <c r="BW45" s="50" t="str">
        <f t="shared" si="48"/>
        <v>X</v>
      </c>
      <c r="BX45" s="51" t="b">
        <f>IF(ISNUMBER(BU45), IF(BW45=$H45,IF(BU45=$F45,IF(BV45=$G45,2,1),1),0))</f>
        <v>0</v>
      </c>
      <c r="BY45" s="81"/>
      <c r="BZ45" s="82"/>
      <c r="CA45" s="50" t="str">
        <f t="shared" si="49"/>
        <v>X</v>
      </c>
      <c r="CB45" s="51" t="b">
        <f>IF(ISNUMBER(BY45), IF(CA45=$H45,IF(BY45=$F45,IF(BZ45=$G45,2,1),1),0))</f>
        <v>0</v>
      </c>
      <c r="CC45" s="81"/>
      <c r="CD45" s="82"/>
      <c r="CE45" s="50" t="str">
        <f t="shared" si="50"/>
        <v>X</v>
      </c>
      <c r="CF45" s="51" t="b">
        <f>IF(ISNUMBER(CC45), IF(CE45=$H45,IF(CC45=$F45,IF(CD45=$G45,2,1),1),0))</f>
        <v>0</v>
      </c>
      <c r="CG45" s="81"/>
      <c r="CH45" s="82"/>
      <c r="CI45" s="50" t="str">
        <f t="shared" si="51"/>
        <v>X</v>
      </c>
      <c r="CJ45" s="51" t="b">
        <f>IF(ISNUMBER(CG45), IF(CI45=$H45,IF(CG45=$F45,IF(CH45=$G45,2,1),1),0))</f>
        <v>0</v>
      </c>
      <c r="CK45" s="81"/>
      <c r="CL45" s="82"/>
      <c r="CM45" s="50" t="str">
        <f t="shared" si="52"/>
        <v>X</v>
      </c>
      <c r="CN45" s="51" t="b">
        <f>IF(ISNUMBER(CK45), IF(CM45=$H45,IF(CK45=$F45,IF(CL45=$G45,2,1),1),0))</f>
        <v>0</v>
      </c>
      <c r="CO45" s="81"/>
      <c r="CP45" s="82"/>
      <c r="CQ45" s="50" t="str">
        <f t="shared" si="53"/>
        <v>X</v>
      </c>
      <c r="CR45" s="51" t="b">
        <f>IF(ISNUMBER(CO45), IF(CQ45=$H45,IF(CO45=$F45,IF(CP45=$G45,2,1),1),0))</f>
        <v>0</v>
      </c>
      <c r="CS45" s="81"/>
      <c r="CT45" s="82"/>
      <c r="CU45" s="50" t="str">
        <f t="shared" si="54"/>
        <v>X</v>
      </c>
      <c r="CV45" s="51" t="b">
        <f>IF(ISNUMBER(CS45), IF(CU45=$H45,IF(CS45=$F45,IF(CT45=$G45,2,1),1),0))</f>
        <v>0</v>
      </c>
      <c r="CW45" s="81"/>
      <c r="CX45" s="82"/>
      <c r="CY45" s="50" t="str">
        <f t="shared" si="55"/>
        <v>X</v>
      </c>
      <c r="CZ45" s="51" t="b">
        <f>IF(ISNUMBER(CW45), IF(CY45=$H45,IF(CW45=$F45,IF(CX45=$G45,2,1),1),0))</f>
        <v>0</v>
      </c>
      <c r="DA45" s="81"/>
      <c r="DB45" s="82"/>
      <c r="DC45" s="50" t="str">
        <f t="shared" si="56"/>
        <v>X</v>
      </c>
      <c r="DD45" s="51" t="b">
        <f>IF(ISNUMBER(DA45), IF(DC45=$H45,IF(DA45=$F45,IF(DB45=$G45,2,1),1),0))</f>
        <v>0</v>
      </c>
      <c r="DE45" s="81"/>
      <c r="DF45" s="82"/>
      <c r="DG45" s="50" t="str">
        <f t="shared" si="57"/>
        <v>X</v>
      </c>
      <c r="DH45" s="51" t="b">
        <f>IF(ISNUMBER(DE45), IF(DG45=$H45,IF(DE45=$F45,IF(DF45=$G45,2,1),1),0))</f>
        <v>0</v>
      </c>
      <c r="DI45" s="81"/>
      <c r="DJ45" s="82"/>
      <c r="DK45" s="50" t="str">
        <f t="shared" si="58"/>
        <v>X</v>
      </c>
      <c r="DL45" s="51" t="b">
        <f>IF(ISNUMBER(DI45), IF(DK45=$H45,IF(DI45=$F45,IF(DJ45=$G45,2,1),1),0))</f>
        <v>0</v>
      </c>
      <c r="DM45" s="81"/>
      <c r="DN45" s="82"/>
      <c r="DO45" s="50" t="str">
        <f t="shared" si="29"/>
        <v>X</v>
      </c>
      <c r="DP45" s="51" t="b">
        <f>IF(ISNUMBER(DM45), IF(DO45=$H45,IF(DM45=$F45,IF(DN45=$G45,2,1),1),0))</f>
        <v>0</v>
      </c>
    </row>
    <row r="46" spans="1:120" ht="13" customHeight="1" thickBot="1">
      <c r="A46" s="41"/>
      <c r="B46" s="42"/>
      <c r="C46" s="43"/>
      <c r="D46" s="44" t="s">
        <v>143</v>
      </c>
      <c r="E46" s="33">
        <f t="shared" si="30"/>
        <v>0</v>
      </c>
      <c r="F46" s="45"/>
      <c r="G46" s="46"/>
      <c r="H46" s="47" t="b">
        <f t="shared" si="31"/>
        <v>0</v>
      </c>
      <c r="I46" s="45"/>
      <c r="J46" s="46"/>
      <c r="K46" s="50" t="str">
        <f t="shared" si="32"/>
        <v>X</v>
      </c>
      <c r="L46" s="51" t="b">
        <f>IF(ISNUMBER(I46), IF(K46=$H46,IF(I46=$F46,IF(J46=$G46,2,1),1),0))</f>
        <v>0</v>
      </c>
      <c r="M46" s="45"/>
      <c r="N46" s="46"/>
      <c r="O46" s="50" t="str">
        <f t="shared" si="33"/>
        <v>X</v>
      </c>
      <c r="P46" s="51" t="b">
        <f>IF(ISNUMBER(M46), IF(O46=$H46,IF(M46=$F46,IF(N46=$G46,2,1),1),0))</f>
        <v>0</v>
      </c>
      <c r="Q46" s="45"/>
      <c r="R46" s="46"/>
      <c r="S46" s="50" t="str">
        <f t="shared" si="34"/>
        <v>X</v>
      </c>
      <c r="T46" s="51" t="b">
        <f>IF(ISNUMBER(Q46), IF(S46=$H46,IF(Q46=$F46,IF(R46=$G46,2,1),1),0))</f>
        <v>0</v>
      </c>
      <c r="U46" s="45"/>
      <c r="V46" s="46"/>
      <c r="W46" s="50" t="str">
        <f t="shared" si="35"/>
        <v>X</v>
      </c>
      <c r="X46" s="51" t="b">
        <f>IF(ISNUMBER(U46), IF(W46=$H46,IF(U46=$F46,IF(V46=$G46,2,1),1),0))</f>
        <v>0</v>
      </c>
      <c r="Y46" s="45"/>
      <c r="Z46" s="46"/>
      <c r="AA46" s="50" t="str">
        <f t="shared" si="36"/>
        <v>X</v>
      </c>
      <c r="AB46" s="51" t="b">
        <f>IF(ISNUMBER(Y46), IF(AA46=$H46,IF(Y46=$F46,IF(Z46=$G46,2,1),1),0))</f>
        <v>0</v>
      </c>
      <c r="AC46" s="45"/>
      <c r="AD46" s="46"/>
      <c r="AE46" s="50" t="str">
        <f t="shared" si="37"/>
        <v>X</v>
      </c>
      <c r="AF46" s="51" t="b">
        <f>IF(ISNUMBER(AC46), IF(AE46=$H46,IF(AC46=$F46,IF(AD46=$G46,2,1),1),0))</f>
        <v>0</v>
      </c>
      <c r="AG46" s="45"/>
      <c r="AH46" s="46"/>
      <c r="AI46" s="50" t="str">
        <f t="shared" si="38"/>
        <v>X</v>
      </c>
      <c r="AJ46" s="51" t="b">
        <f>IF(ISNUMBER(AG46), IF(AI46=$H46,IF(AG46=$F46,IF(AH46=$G46,2,1),1),0))</f>
        <v>0</v>
      </c>
      <c r="AK46" s="45"/>
      <c r="AL46" s="46"/>
      <c r="AM46" s="50" t="str">
        <f t="shared" si="39"/>
        <v>X</v>
      </c>
      <c r="AN46" s="51" t="b">
        <f>IF(ISNUMBER(AK46), IF(AM46=$H46,IF(AK46=$F46,IF(AL46=$G46,2,1),1),0))</f>
        <v>0</v>
      </c>
      <c r="AO46" s="45"/>
      <c r="AP46" s="46"/>
      <c r="AQ46" s="50" t="str">
        <f t="shared" si="40"/>
        <v>X</v>
      </c>
      <c r="AR46" s="51" t="b">
        <f>IF(ISNUMBER(AO46), IF(AQ46=$H46,IF(AO46=$F46,IF(AP46=$G46,2,1),1),0))</f>
        <v>0</v>
      </c>
      <c r="AS46" s="45"/>
      <c r="AT46" s="46"/>
      <c r="AU46" s="50" t="str">
        <f t="shared" si="41"/>
        <v>X</v>
      </c>
      <c r="AV46" s="51" t="b">
        <f>IF(ISNUMBER(AS46), IF(AU46=$H46,IF(AS46=$F46,IF(AT46=$G46,2,1),1),0))</f>
        <v>0</v>
      </c>
      <c r="AW46" s="45"/>
      <c r="AX46" s="46"/>
      <c r="AY46" s="50" t="str">
        <f t="shared" si="42"/>
        <v>X</v>
      </c>
      <c r="AZ46" s="51" t="b">
        <f>IF(ISNUMBER(AW46), IF(AY46=$H46,IF(AW46=$F46,IF(AX46=$G46,2,1),1),0))</f>
        <v>0</v>
      </c>
      <c r="BA46" s="45"/>
      <c r="BB46" s="46"/>
      <c r="BC46" s="50" t="str">
        <f t="shared" si="43"/>
        <v>X</v>
      </c>
      <c r="BD46" s="51" t="b">
        <f>IF(ISNUMBER(BA46), IF(BC46=$H46,IF(BA46=$F46,IF(BB46=$G46,2,1),1),0))</f>
        <v>0</v>
      </c>
      <c r="BE46" s="45"/>
      <c r="BF46" s="46"/>
      <c r="BG46" s="50" t="str">
        <f t="shared" si="44"/>
        <v>X</v>
      </c>
      <c r="BH46" s="51" t="b">
        <f>IF(ISNUMBER(BE46), IF(BG46=$H46,IF(BE46=$F46,IF(BF46=$G46,2,1),1),0))</f>
        <v>0</v>
      </c>
      <c r="BI46" s="45"/>
      <c r="BJ46" s="46"/>
      <c r="BK46" s="50" t="str">
        <f t="shared" si="45"/>
        <v>X</v>
      </c>
      <c r="BL46" s="51" t="b">
        <f>IF(ISNUMBER(BI46), IF(BK46=$H46,IF(BI46=$F46,IF(BJ46=$G46,2,1),1),0))</f>
        <v>0</v>
      </c>
      <c r="BM46" s="48"/>
      <c r="BN46" s="49"/>
      <c r="BO46" s="50" t="str">
        <f t="shared" si="46"/>
        <v>X</v>
      </c>
      <c r="BP46" s="51" t="b">
        <f>IF(ISNUMBER(BM46), IF(BO46=$H46,IF(BM46=$F46,IF(BN46=$G46,2,1),1),0))</f>
        <v>0</v>
      </c>
      <c r="BQ46" s="48"/>
      <c r="BR46" s="49"/>
      <c r="BS46" s="50" t="str">
        <f t="shared" si="47"/>
        <v>X</v>
      </c>
      <c r="BT46" s="51" t="b">
        <f>IF(ISNUMBER(BQ46), IF(BS46=$H46,IF(BQ46=$F46,IF(BR46=$G46,2,1),1),0))</f>
        <v>0</v>
      </c>
      <c r="BU46" s="45"/>
      <c r="BV46" s="46"/>
      <c r="BW46" s="50" t="str">
        <f t="shared" si="48"/>
        <v>X</v>
      </c>
      <c r="BX46" s="51" t="b">
        <f>IF(ISNUMBER(BU46), IF(BW46=$H46,IF(BU46=$F46,IF(BV46=$G46,2,1),1),0))</f>
        <v>0</v>
      </c>
      <c r="BY46" s="45"/>
      <c r="BZ46" s="46"/>
      <c r="CA46" s="50" t="str">
        <f t="shared" si="49"/>
        <v>X</v>
      </c>
      <c r="CB46" s="51" t="b">
        <f>IF(ISNUMBER(BY46), IF(CA46=$H46,IF(BY46=$F46,IF(BZ46=$G46,2,1),1),0))</f>
        <v>0</v>
      </c>
      <c r="CC46" s="45"/>
      <c r="CD46" s="46"/>
      <c r="CE46" s="50" t="str">
        <f t="shared" si="50"/>
        <v>X</v>
      </c>
      <c r="CF46" s="51" t="b">
        <f>IF(ISNUMBER(CC46), IF(CE46=$H46,IF(CC46=$F46,IF(CD46=$G46,2,1),1),0))</f>
        <v>0</v>
      </c>
      <c r="CG46" s="45"/>
      <c r="CH46" s="46"/>
      <c r="CI46" s="50" t="str">
        <f t="shared" si="51"/>
        <v>X</v>
      </c>
      <c r="CJ46" s="51" t="b">
        <f>IF(ISNUMBER(CG46), IF(CI46=$H46,IF(CG46=$F46,IF(CH46=$G46,2,1),1),0))</f>
        <v>0</v>
      </c>
      <c r="CK46" s="45"/>
      <c r="CL46" s="46"/>
      <c r="CM46" s="50" t="str">
        <f t="shared" si="52"/>
        <v>X</v>
      </c>
      <c r="CN46" s="51" t="b">
        <f>IF(ISNUMBER(CK46), IF(CM46=$H46,IF(CK46=$F46,IF(CL46=$G46,2,1),1),0))</f>
        <v>0</v>
      </c>
      <c r="CO46" s="45"/>
      <c r="CP46" s="46"/>
      <c r="CQ46" s="50" t="str">
        <f t="shared" si="53"/>
        <v>X</v>
      </c>
      <c r="CR46" s="51" t="b">
        <f>IF(ISNUMBER(CO46), IF(CQ46=$H46,IF(CO46=$F46,IF(CP46=$G46,2,1),1),0))</f>
        <v>0</v>
      </c>
      <c r="CS46" s="45"/>
      <c r="CT46" s="46"/>
      <c r="CU46" s="50" t="str">
        <f t="shared" si="54"/>
        <v>X</v>
      </c>
      <c r="CV46" s="51" t="b">
        <f>IF(ISNUMBER(CS46), IF(CU46=$H46,IF(CS46=$F46,IF(CT46=$G46,2,1),1),0))</f>
        <v>0</v>
      </c>
      <c r="CW46" s="45"/>
      <c r="CX46" s="46"/>
      <c r="CY46" s="50" t="str">
        <f t="shared" si="55"/>
        <v>X</v>
      </c>
      <c r="CZ46" s="51" t="b">
        <f>IF(ISNUMBER(CW46), IF(CY46=$H46,IF(CW46=$F46,IF(CX46=$G46,2,1),1),0))</f>
        <v>0</v>
      </c>
      <c r="DA46" s="45"/>
      <c r="DB46" s="46"/>
      <c r="DC46" s="50" t="str">
        <f t="shared" si="56"/>
        <v>X</v>
      </c>
      <c r="DD46" s="51" t="b">
        <f>IF(ISNUMBER(DA46), IF(DC46=$H46,IF(DA46=$F46,IF(DB46=$G46,2,1),1),0))</f>
        <v>0</v>
      </c>
      <c r="DE46" s="45"/>
      <c r="DF46" s="46"/>
      <c r="DG46" s="50" t="str">
        <f t="shared" si="57"/>
        <v>X</v>
      </c>
      <c r="DH46" s="51" t="b">
        <f>IF(ISNUMBER(DE46), IF(DG46=$H46,IF(DE46=$F46,IF(DF46=$G46,2,1),1),0))</f>
        <v>0</v>
      </c>
      <c r="DI46" s="45"/>
      <c r="DJ46" s="46"/>
      <c r="DK46" s="50" t="str">
        <f t="shared" si="58"/>
        <v>X</v>
      </c>
      <c r="DL46" s="51" t="b">
        <f>IF(ISNUMBER(DI46), IF(DK46=$H46,IF(DI46=$F46,IF(DJ46=$G46,2,1),1),0))</f>
        <v>0</v>
      </c>
      <c r="DM46" s="45"/>
      <c r="DN46" s="46"/>
      <c r="DO46" s="50" t="str">
        <f t="shared" si="29"/>
        <v>X</v>
      </c>
      <c r="DP46" s="51" t="b">
        <f>IF(ISNUMBER(DM46), IF(DO46=$H46,IF(DM46=$F46,IF(DN46=$G46,2,1),1),0))</f>
        <v>0</v>
      </c>
    </row>
    <row r="47" spans="1:120" s="25" customFormat="1" ht="13" customHeight="1" thickBot="1">
      <c r="A47" s="52"/>
      <c r="B47" s="53"/>
      <c r="C47" s="54"/>
      <c r="D47" s="55" t="s">
        <v>144</v>
      </c>
      <c r="E47" s="33">
        <f t="shared" si="30"/>
        <v>0</v>
      </c>
      <c r="F47" s="56"/>
      <c r="G47" s="56"/>
      <c r="H47" s="57" t="b">
        <f t="shared" si="31"/>
        <v>0</v>
      </c>
      <c r="I47" s="58">
        <f>SUM(I44:I46)</f>
        <v>0</v>
      </c>
      <c r="J47" s="59">
        <f>SUM(J44:J46)</f>
        <v>0</v>
      </c>
      <c r="K47" s="59" t="str">
        <f t="shared" si="32"/>
        <v>X</v>
      </c>
      <c r="L47" s="60">
        <f>IF($H47=K47,SUM(L44:L46)+1,SUM(L44:L46))</f>
        <v>0</v>
      </c>
      <c r="M47" s="58">
        <f>SUM(M44:M46)</f>
        <v>0</v>
      </c>
      <c r="N47" s="59">
        <f>SUM(N44:N46)</f>
        <v>0</v>
      </c>
      <c r="O47" s="59" t="str">
        <f t="shared" si="33"/>
        <v>X</v>
      </c>
      <c r="P47" s="60">
        <f>IF($H47=O47,SUM(P44:P46)+1,SUM(P44:P46))</f>
        <v>0</v>
      </c>
      <c r="Q47" s="58">
        <f>SUM(Q44:Q46)</f>
        <v>0</v>
      </c>
      <c r="R47" s="59">
        <f>SUM(R44:R46)</f>
        <v>0</v>
      </c>
      <c r="S47" s="59" t="str">
        <f t="shared" si="34"/>
        <v>X</v>
      </c>
      <c r="T47" s="60">
        <f>IF($H47=S47,SUM(T44:T46)+1,SUM(T44:T46))</f>
        <v>0</v>
      </c>
      <c r="U47" s="58">
        <f>SUM(U44:U46)</f>
        <v>0</v>
      </c>
      <c r="V47" s="59">
        <f>SUM(V44:V46)</f>
        <v>0</v>
      </c>
      <c r="W47" s="59" t="str">
        <f t="shared" si="35"/>
        <v>X</v>
      </c>
      <c r="X47" s="60">
        <f>IF($H47=W47,SUM(X44:X46)+1,SUM(X44:X46))</f>
        <v>0</v>
      </c>
      <c r="Y47" s="58">
        <f>SUM(Y44:Y46)</f>
        <v>0</v>
      </c>
      <c r="Z47" s="59">
        <f>SUM(Z44:Z46)</f>
        <v>0</v>
      </c>
      <c r="AA47" s="59" t="str">
        <f t="shared" si="36"/>
        <v>X</v>
      </c>
      <c r="AB47" s="60">
        <f>IF($H47=AA47,SUM(AB44:AB46)+1,SUM(AB44:AB46))</f>
        <v>0</v>
      </c>
      <c r="AC47" s="58">
        <f>SUM(AC44:AC46)</f>
        <v>0</v>
      </c>
      <c r="AD47" s="59">
        <f>SUM(AD44:AD46)</f>
        <v>0</v>
      </c>
      <c r="AE47" s="59" t="str">
        <f t="shared" si="37"/>
        <v>X</v>
      </c>
      <c r="AF47" s="60">
        <f>IF($H47=AE47,SUM(AF44:AF46)+1,SUM(AF44:AF46))</f>
        <v>0</v>
      </c>
      <c r="AG47" s="58">
        <f>SUM(AG44:AG46)</f>
        <v>0</v>
      </c>
      <c r="AH47" s="59">
        <f>SUM(AH44:AH46)</f>
        <v>0</v>
      </c>
      <c r="AI47" s="59" t="str">
        <f t="shared" si="38"/>
        <v>X</v>
      </c>
      <c r="AJ47" s="60">
        <f>IF($H47=AI47,SUM(AJ44:AJ46)+1,SUM(AJ44:AJ46))</f>
        <v>0</v>
      </c>
      <c r="AK47" s="58">
        <f>SUM(AK44:AK46)</f>
        <v>0</v>
      </c>
      <c r="AL47" s="59">
        <f>SUM(AL44:AL46)</f>
        <v>0</v>
      </c>
      <c r="AM47" s="59" t="str">
        <f t="shared" si="39"/>
        <v>X</v>
      </c>
      <c r="AN47" s="60">
        <f>IF($H47=AM47,SUM(AN44:AN46)+1,SUM(AN44:AN46))</f>
        <v>0</v>
      </c>
      <c r="AO47" s="58">
        <f>SUM(AO44:AO46)</f>
        <v>0</v>
      </c>
      <c r="AP47" s="59">
        <f>SUM(AP44:AP46)</f>
        <v>0</v>
      </c>
      <c r="AQ47" s="59" t="str">
        <f t="shared" si="40"/>
        <v>X</v>
      </c>
      <c r="AR47" s="60">
        <f>IF($H47=AQ47,SUM(AR44:AR46)+1,SUM(AR44:AR46))</f>
        <v>0</v>
      </c>
      <c r="AS47" s="58">
        <f>SUM(AS44:AS46)</f>
        <v>0</v>
      </c>
      <c r="AT47" s="59">
        <f>SUM(AT44:AT46)</f>
        <v>0</v>
      </c>
      <c r="AU47" s="59" t="str">
        <f t="shared" si="41"/>
        <v>X</v>
      </c>
      <c r="AV47" s="60">
        <f>IF($H47=AU47,SUM(AV44:AV46)+1,SUM(AV44:AV46))</f>
        <v>0</v>
      </c>
      <c r="AW47" s="58">
        <f>SUM(AW44:AW46)</f>
        <v>0</v>
      </c>
      <c r="AX47" s="59">
        <f>SUM(AX44:AX46)</f>
        <v>0</v>
      </c>
      <c r="AY47" s="59" t="str">
        <f t="shared" si="42"/>
        <v>X</v>
      </c>
      <c r="AZ47" s="60">
        <f>IF($H47=AY47,SUM(AZ44:AZ46)+1,SUM(AZ44:AZ46))</f>
        <v>0</v>
      </c>
      <c r="BA47" s="58">
        <f>SUM(BA44:BA46)</f>
        <v>0</v>
      </c>
      <c r="BB47" s="59">
        <f>SUM(BB44:BB46)</f>
        <v>0</v>
      </c>
      <c r="BC47" s="59" t="str">
        <f t="shared" si="43"/>
        <v>X</v>
      </c>
      <c r="BD47" s="60">
        <f>IF($H47=BC47,SUM(BD44:BD46)+1,SUM(BD44:BD46))</f>
        <v>0</v>
      </c>
      <c r="BE47" s="58">
        <f>SUM(BE44:BE46)</f>
        <v>0</v>
      </c>
      <c r="BF47" s="59">
        <f>SUM(BF44:BF46)</f>
        <v>0</v>
      </c>
      <c r="BG47" s="59" t="str">
        <f t="shared" si="44"/>
        <v>X</v>
      </c>
      <c r="BH47" s="60">
        <f>IF($H47=BG47,SUM(BH44:BH46)+1,SUM(BH44:BH46))</f>
        <v>0</v>
      </c>
      <c r="BI47" s="58">
        <f>SUM(BI44:BI46)</f>
        <v>0</v>
      </c>
      <c r="BJ47" s="59">
        <f>SUM(BJ44:BJ46)</f>
        <v>0</v>
      </c>
      <c r="BK47" s="59" t="str">
        <f t="shared" si="45"/>
        <v>X</v>
      </c>
      <c r="BL47" s="60">
        <f>IF($H47=BK47,SUM(BL44:BL46)+1,SUM(BL44:BL46))</f>
        <v>0</v>
      </c>
      <c r="BM47" s="58">
        <f>SUM(BM44:BM46)</f>
        <v>0</v>
      </c>
      <c r="BN47" s="59">
        <f>SUM(BN44:BN46)</f>
        <v>0</v>
      </c>
      <c r="BO47" s="59" t="str">
        <f t="shared" si="46"/>
        <v>X</v>
      </c>
      <c r="BP47" s="60">
        <f>IF($H47=BO47,SUM(BP44:BP46)+1,SUM(BP44:BP46))</f>
        <v>0</v>
      </c>
      <c r="BQ47" s="58">
        <f>SUM(BQ44:BQ46)</f>
        <v>0</v>
      </c>
      <c r="BR47" s="59">
        <f>SUM(BR44:BR46)</f>
        <v>0</v>
      </c>
      <c r="BS47" s="59" t="str">
        <f t="shared" si="47"/>
        <v>X</v>
      </c>
      <c r="BT47" s="60">
        <f>IF($H47=BS47,SUM(BT44:BT46)+1,SUM(BT44:BT46))</f>
        <v>0</v>
      </c>
      <c r="BU47" s="58">
        <f>SUM(BU44:BU46)</f>
        <v>0</v>
      </c>
      <c r="BV47" s="59">
        <f>SUM(BV44:BV46)</f>
        <v>0</v>
      </c>
      <c r="BW47" s="59" t="str">
        <f t="shared" si="48"/>
        <v>X</v>
      </c>
      <c r="BX47" s="60">
        <f>IF($H47=BW47,SUM(BX44:BX46)+1,SUM(BX44:BX46))</f>
        <v>0</v>
      </c>
      <c r="BY47" s="58">
        <f>SUM(BY44:BY46)</f>
        <v>0</v>
      </c>
      <c r="BZ47" s="59">
        <f>SUM(BZ44:BZ46)</f>
        <v>0</v>
      </c>
      <c r="CA47" s="59" t="str">
        <f t="shared" si="49"/>
        <v>X</v>
      </c>
      <c r="CB47" s="60">
        <f>IF($H47=CA47,SUM(CB44:CB46)+1,SUM(CB44:CB46))</f>
        <v>0</v>
      </c>
      <c r="CC47" s="58">
        <f>SUM(CC44:CC46)</f>
        <v>0</v>
      </c>
      <c r="CD47" s="59">
        <f>SUM(CD44:CD46)</f>
        <v>0</v>
      </c>
      <c r="CE47" s="59" t="str">
        <f t="shared" si="50"/>
        <v>X</v>
      </c>
      <c r="CF47" s="60">
        <f>IF($H47=CE47,SUM(CF44:CF46)+1,SUM(CF44:CF46))</f>
        <v>0</v>
      </c>
      <c r="CG47" s="58">
        <f>SUM(CG44:CG46)</f>
        <v>0</v>
      </c>
      <c r="CH47" s="59">
        <f>SUM(CH44:CH46)</f>
        <v>0</v>
      </c>
      <c r="CI47" s="59" t="str">
        <f t="shared" si="51"/>
        <v>X</v>
      </c>
      <c r="CJ47" s="60">
        <f>IF($H47=CI47,SUM(CJ44:CJ46)+1,SUM(CJ44:CJ46))</f>
        <v>0</v>
      </c>
      <c r="CK47" s="58">
        <f>SUM(CK44:CK46)</f>
        <v>0</v>
      </c>
      <c r="CL47" s="59">
        <f>SUM(CL44:CL46)</f>
        <v>0</v>
      </c>
      <c r="CM47" s="59" t="str">
        <f t="shared" si="52"/>
        <v>X</v>
      </c>
      <c r="CN47" s="60">
        <f>IF($H47=CM47,SUM(CN44:CN46)+1,SUM(CN44:CN46))</f>
        <v>0</v>
      </c>
      <c r="CO47" s="58">
        <f>SUM(CO44:CO46)</f>
        <v>0</v>
      </c>
      <c r="CP47" s="59">
        <f>SUM(CP44:CP46)</f>
        <v>0</v>
      </c>
      <c r="CQ47" s="59" t="str">
        <f t="shared" si="53"/>
        <v>X</v>
      </c>
      <c r="CR47" s="60">
        <f>IF($H47=CQ47,SUM(CR44:CR46)+1,SUM(CR44:CR46))</f>
        <v>0</v>
      </c>
      <c r="CS47" s="58">
        <f>SUM(CS44:CS46)</f>
        <v>0</v>
      </c>
      <c r="CT47" s="59">
        <f>SUM(CT44:CT46)</f>
        <v>0</v>
      </c>
      <c r="CU47" s="59" t="str">
        <f t="shared" si="54"/>
        <v>X</v>
      </c>
      <c r="CV47" s="60">
        <f>IF($H47=CU47,SUM(CV44:CV46)+1,SUM(CV44:CV46))</f>
        <v>0</v>
      </c>
      <c r="CW47" s="58">
        <f>SUM(CW44:CW46)</f>
        <v>0</v>
      </c>
      <c r="CX47" s="59">
        <f>SUM(CX44:CX46)</f>
        <v>0</v>
      </c>
      <c r="CY47" s="59" t="str">
        <f t="shared" si="55"/>
        <v>X</v>
      </c>
      <c r="CZ47" s="60">
        <f>IF($H47=CY47,SUM(CZ44:CZ46)+1,SUM(CZ44:CZ46))</f>
        <v>0</v>
      </c>
      <c r="DA47" s="58">
        <f>SUM(DA44:DA46)</f>
        <v>0</v>
      </c>
      <c r="DB47" s="59">
        <f>SUM(DB44:DB46)</f>
        <v>0</v>
      </c>
      <c r="DC47" s="59" t="str">
        <f t="shared" si="56"/>
        <v>X</v>
      </c>
      <c r="DD47" s="60">
        <f>IF($H47=DC47,SUM(DD44:DD46)+1,SUM(DD44:DD46))</f>
        <v>0</v>
      </c>
      <c r="DE47" s="58">
        <f>SUM(DE44:DE46)</f>
        <v>0</v>
      </c>
      <c r="DF47" s="59">
        <f>SUM(DF44:DF46)</f>
        <v>0</v>
      </c>
      <c r="DG47" s="59" t="str">
        <f t="shared" si="57"/>
        <v>X</v>
      </c>
      <c r="DH47" s="60">
        <f>IF($H47=DG47,SUM(DH44:DH46)+1,SUM(DH44:DH46))</f>
        <v>0</v>
      </c>
      <c r="DI47" s="58">
        <f>SUM(DI44:DI46)</f>
        <v>0</v>
      </c>
      <c r="DJ47" s="59">
        <f>SUM(DJ44:DJ46)</f>
        <v>0</v>
      </c>
      <c r="DK47" s="59" t="str">
        <f t="shared" si="58"/>
        <v>X</v>
      </c>
      <c r="DL47" s="60">
        <f>IF($H47=DK47,SUM(DL44:DL46)+1,SUM(DL44:DL46))</f>
        <v>0</v>
      </c>
      <c r="DM47" s="58">
        <f>SUM(DM44:DM46)</f>
        <v>0</v>
      </c>
      <c r="DN47" s="59">
        <f>SUM(DN44:DN46)</f>
        <v>0</v>
      </c>
      <c r="DO47" s="59" t="str">
        <f t="shared" si="29"/>
        <v>X</v>
      </c>
      <c r="DP47" s="60">
        <f>IF($H47=DO47,SUM(DP44:DP46)+1,SUM(DP44:DP46))</f>
        <v>0</v>
      </c>
    </row>
    <row r="48" spans="1:120" ht="13" customHeight="1" thickBot="1">
      <c r="A48" s="113">
        <f>A44</f>
        <v>43443</v>
      </c>
      <c r="B48" s="30" t="s">
        <v>145</v>
      </c>
      <c r="C48" s="31"/>
      <c r="D48" s="32" t="s">
        <v>141</v>
      </c>
      <c r="E48" s="33">
        <f t="shared" si="30"/>
        <v>0</v>
      </c>
      <c r="F48" s="34"/>
      <c r="G48" s="35"/>
      <c r="H48" s="36" t="b">
        <f t="shared" si="31"/>
        <v>0</v>
      </c>
      <c r="I48" s="34"/>
      <c r="J48" s="35"/>
      <c r="K48" s="39" t="str">
        <f t="shared" si="32"/>
        <v>X</v>
      </c>
      <c r="L48" s="40" t="b">
        <f>IF(ISNUMBER(I48), IF(K48=$H48,IF(I48=$F48,IF(J48=$G48,IF($F48-$G48&gt;=3,6,IF($G48-$F48&gt;=3,6,IF($F48+$G48&gt;=4,6,5))),3),3),0))</f>
        <v>0</v>
      </c>
      <c r="M48" s="34"/>
      <c r="N48" s="35"/>
      <c r="O48" s="39" t="str">
        <f t="shared" si="33"/>
        <v>X</v>
      </c>
      <c r="P48" s="40" t="b">
        <f>IF(ISNUMBER(M48), IF(O48=$H48,IF(M48=$F48,IF(N48=$G48,IF($F48-$G48&gt;=3,6,IF($G48-$F48&gt;=3,6,IF($F48+$G48&gt;=4,6,5))),3),3),0))</f>
        <v>0</v>
      </c>
      <c r="Q48" s="34"/>
      <c r="R48" s="35"/>
      <c r="S48" s="39" t="str">
        <f t="shared" si="34"/>
        <v>X</v>
      </c>
      <c r="T48" s="40" t="b">
        <f>IF(ISNUMBER(Q48), IF(S48=$H48,IF(Q48=$F48,IF(R48=$G48,IF($F48-$G48&gt;=3,6,IF($G48-$F48&gt;=3,6,IF($F48+$G48&gt;=4,6,5))),3),3),0))</f>
        <v>0</v>
      </c>
      <c r="U48" s="34"/>
      <c r="V48" s="35"/>
      <c r="W48" s="39" t="str">
        <f t="shared" si="35"/>
        <v>X</v>
      </c>
      <c r="X48" s="40" t="b">
        <f>IF(ISNUMBER(U48), IF(W48=$H48,IF(U48=$F48,IF(V48=$G48,IF($F48-$G48&gt;=3,6,IF($G48-$F48&gt;=3,6,IF($F48+$G48&gt;=4,6,5))),3),3),0))</f>
        <v>0</v>
      </c>
      <c r="Y48" s="34"/>
      <c r="Z48" s="35"/>
      <c r="AA48" s="39" t="str">
        <f t="shared" si="36"/>
        <v>X</v>
      </c>
      <c r="AB48" s="40" t="b">
        <f>IF(ISNUMBER(Y48), IF(AA48=$H48,IF(Y48=$F48,IF(Z48=$G48,IF($F48-$G48&gt;=3,6,IF($G48-$F48&gt;=3,6,IF($F48+$G48&gt;=4,6,5))),3),3),0))</f>
        <v>0</v>
      </c>
      <c r="AC48" s="34"/>
      <c r="AD48" s="35"/>
      <c r="AE48" s="39" t="str">
        <f t="shared" si="37"/>
        <v>X</v>
      </c>
      <c r="AF48" s="40" t="b">
        <f>IF(ISNUMBER(AC48), IF(AE48=$H48,IF(AC48=$F48,IF(AD48=$G48,IF($F48-$G48&gt;=3,6,IF($G48-$F48&gt;=3,6,IF($F48+$G48&gt;=4,6,5))),3),3),0))</f>
        <v>0</v>
      </c>
      <c r="AG48" s="34"/>
      <c r="AH48" s="35"/>
      <c r="AI48" s="39" t="str">
        <f t="shared" si="38"/>
        <v>X</v>
      </c>
      <c r="AJ48" s="40" t="b">
        <f>IF(ISNUMBER(AG48), IF(AI48=$H48,IF(AG48=$F48,IF(AH48=$G48,IF($F48-$G48&gt;=3,6,IF($G48-$F48&gt;=3,6,IF($F48+$G48&gt;=4,6,5))),3),3),0))</f>
        <v>0</v>
      </c>
      <c r="AK48" s="34"/>
      <c r="AL48" s="35"/>
      <c r="AM48" s="39" t="str">
        <f t="shared" si="39"/>
        <v>X</v>
      </c>
      <c r="AN48" s="40" t="b">
        <f>IF(ISNUMBER(AK48), IF(AM48=$H48,IF(AK48=$F48,IF(AL48=$G48,IF($F48-$G48&gt;=3,6,IF($G48-$F48&gt;=3,6,IF($F48+$G48&gt;=4,6,5))),3),3),0))</f>
        <v>0</v>
      </c>
      <c r="AO48" s="34"/>
      <c r="AP48" s="35"/>
      <c r="AQ48" s="39" t="str">
        <f t="shared" si="40"/>
        <v>X</v>
      </c>
      <c r="AR48" s="40" t="b">
        <f>IF(ISNUMBER(AO48), IF(AQ48=$H48,IF(AO48=$F48,IF(AP48=$G48,IF($F48-$G48&gt;=3,6,IF($G48-$F48&gt;=3,6,IF($F48+$G48&gt;=4,6,5))),3),3),0))</f>
        <v>0</v>
      </c>
      <c r="AS48" s="34"/>
      <c r="AT48" s="35"/>
      <c r="AU48" s="39" t="str">
        <f t="shared" si="41"/>
        <v>X</v>
      </c>
      <c r="AV48" s="40" t="b">
        <f>IF(ISNUMBER(AS48), IF(AU48=$H48,IF(AS48=$F48,IF(AT48=$G48,IF($F48-$G48&gt;=3,6,IF($G48-$F48&gt;=3,6,IF($F48+$G48&gt;=4,6,5))),3),3),0))</f>
        <v>0</v>
      </c>
      <c r="AW48" s="34"/>
      <c r="AX48" s="35"/>
      <c r="AY48" s="39" t="str">
        <f t="shared" si="42"/>
        <v>X</v>
      </c>
      <c r="AZ48" s="40" t="b">
        <f>IF(ISNUMBER(AW48), IF(AY48=$H48,IF(AW48=$F48,IF(AX48=$G48,IF($F48-$G48&gt;=3,6,IF($G48-$F48&gt;=3,6,IF($F48+$G48&gt;=4,6,5))),3),3),0))</f>
        <v>0</v>
      </c>
      <c r="BA48" s="34"/>
      <c r="BB48" s="35"/>
      <c r="BC48" s="39" t="str">
        <f t="shared" si="43"/>
        <v>X</v>
      </c>
      <c r="BD48" s="40" t="b">
        <f>IF(ISNUMBER(BA48), IF(BC48=$H48,IF(BA48=$F48,IF(BB48=$G48,IF($F48-$G48&gt;=3,6,IF($G48-$F48&gt;=3,6,IF($F48+$G48&gt;=4,6,5))),3),3),0))</f>
        <v>0</v>
      </c>
      <c r="BE48" s="34"/>
      <c r="BF48" s="35"/>
      <c r="BG48" s="39" t="str">
        <f t="shared" si="44"/>
        <v>X</v>
      </c>
      <c r="BH48" s="40" t="b">
        <f>IF(ISNUMBER(BE48), IF(BG48=$H48,IF(BE48=$F48,IF(BF48=$G48,IF($F48-$G48&gt;=3,6,IF($G48-$F48&gt;=3,6,IF($F48+$G48&gt;=4,6,5))),3),3),0))</f>
        <v>0</v>
      </c>
      <c r="BI48" s="34"/>
      <c r="BJ48" s="35"/>
      <c r="BK48" s="39" t="str">
        <f t="shared" si="45"/>
        <v>X</v>
      </c>
      <c r="BL48" s="40" t="b">
        <f>IF(ISNUMBER(BI48), IF(BK48=$H48,IF(BI48=$F48,IF(BJ48=$G48,IF($F48-$G48&gt;=3,6,IF($G48-$F48&gt;=3,6,IF($F48+$G48&gt;=4,6,5))),3),3),0))</f>
        <v>0</v>
      </c>
      <c r="BM48" s="37"/>
      <c r="BN48" s="38"/>
      <c r="BO48" s="39" t="str">
        <f t="shared" si="46"/>
        <v>X</v>
      </c>
      <c r="BP48" s="40" t="b">
        <f>IF(ISNUMBER(BM48), IF(BO48=$H48,IF(BM48=$F48,IF(BN48=$G48,IF($F48-$G48&gt;=3,6,IF($G48-$F48&gt;=3,6,IF($F48+$G48&gt;=4,6,5))),3),3),0))</f>
        <v>0</v>
      </c>
      <c r="BQ48" s="37"/>
      <c r="BR48" s="38"/>
      <c r="BS48" s="39" t="str">
        <f t="shared" si="47"/>
        <v>X</v>
      </c>
      <c r="BT48" s="40" t="b">
        <f>IF(ISNUMBER(BQ48), IF(BS48=$H48,IF(BQ48=$F48,IF(BR48=$G48,IF($F48-$G48&gt;=3,6,IF($G48-$F48&gt;=3,6,IF($F48+$G48&gt;=4,6,5))),3),3),0))</f>
        <v>0</v>
      </c>
      <c r="BU48" s="34"/>
      <c r="BV48" s="35"/>
      <c r="BW48" s="39" t="str">
        <f t="shared" si="48"/>
        <v>X</v>
      </c>
      <c r="BX48" s="40" t="b">
        <f>IF(ISNUMBER(BU48), IF(BW48=$H48,IF(BU48=$F48,IF(BV48=$G48,IF($F48-$G48&gt;=3,6,IF($G48-$F48&gt;=3,6,IF($F48+$G48&gt;=4,6,5))),3),3),0))</f>
        <v>0</v>
      </c>
      <c r="BY48" s="34"/>
      <c r="BZ48" s="35"/>
      <c r="CA48" s="39" t="str">
        <f t="shared" si="49"/>
        <v>X</v>
      </c>
      <c r="CB48" s="40" t="b">
        <f>IF(ISNUMBER(BY48), IF(CA48=$H48,IF(BY48=$F48,IF(BZ48=$G48,IF($F48-$G48&gt;=3,6,IF($G48-$F48&gt;=3,6,IF($F48+$G48&gt;=4,6,5))),3),3),0))</f>
        <v>0</v>
      </c>
      <c r="CC48" s="34"/>
      <c r="CD48" s="35"/>
      <c r="CE48" s="39" t="str">
        <f t="shared" si="50"/>
        <v>X</v>
      </c>
      <c r="CF48" s="40" t="b">
        <f>IF(ISNUMBER(CC48), IF(CE48=$H48,IF(CC48=$F48,IF(CD48=$G48,IF($F48-$G48&gt;=3,6,IF($G48-$F48&gt;=3,6,IF($F48+$G48&gt;=4,6,5))),3),3),0))</f>
        <v>0</v>
      </c>
      <c r="CG48" s="34"/>
      <c r="CH48" s="35"/>
      <c r="CI48" s="39" t="str">
        <f t="shared" si="51"/>
        <v>X</v>
      </c>
      <c r="CJ48" s="40" t="b">
        <f>IF(ISNUMBER(CG48), IF(CI48=$H48,IF(CG48=$F48,IF(CH48=$G48,IF($F48-$G48&gt;=3,6,IF($G48-$F48&gt;=3,6,IF($F48+$G48&gt;=4,6,5))),3),3),0))</f>
        <v>0</v>
      </c>
      <c r="CK48" s="34"/>
      <c r="CL48" s="35"/>
      <c r="CM48" s="39" t="str">
        <f t="shared" si="52"/>
        <v>X</v>
      </c>
      <c r="CN48" s="40" t="b">
        <f>IF(ISNUMBER(CK48), IF(CM48=$H48,IF(CK48=$F48,IF(CL48=$G48,IF($F48-$G48&gt;=3,6,IF($G48-$F48&gt;=3,6,IF($F48+$G48&gt;=4,6,5))),3),3),0))</f>
        <v>0</v>
      </c>
      <c r="CO48" s="34"/>
      <c r="CP48" s="35"/>
      <c r="CQ48" s="39" t="str">
        <f t="shared" si="53"/>
        <v>X</v>
      </c>
      <c r="CR48" s="40" t="b">
        <f>IF(ISNUMBER(CO48), IF(CQ48=$H48,IF(CO48=$F48,IF(CP48=$G48,IF($F48-$G48&gt;=3,6,IF($G48-$F48&gt;=3,6,IF($F48+$G48&gt;=4,6,5))),3),3),0))</f>
        <v>0</v>
      </c>
      <c r="CS48" s="34"/>
      <c r="CT48" s="35"/>
      <c r="CU48" s="39" t="str">
        <f t="shared" si="54"/>
        <v>X</v>
      </c>
      <c r="CV48" s="40" t="b">
        <f>IF(ISNUMBER(CS48), IF(CU48=$H48,IF(CS48=$F48,IF(CT48=$G48,IF($F48-$G48&gt;=3,6,IF($G48-$F48&gt;=3,6,IF($F48+$G48&gt;=4,6,5))),3),3),0))</f>
        <v>0</v>
      </c>
      <c r="CW48" s="37"/>
      <c r="CX48" s="38"/>
      <c r="CY48" s="39" t="str">
        <f t="shared" si="55"/>
        <v>X</v>
      </c>
      <c r="CZ48" s="40" t="b">
        <f>IF(ISNUMBER(CW48), IF(CY48=$H48,IF(CW48=$F48,IF(CX48=$G48,IF($F48-$G48&gt;=3,6,IF($G48-$F48&gt;=3,6,IF($F48+$G48&gt;=4,6,5))),3),3),0))</f>
        <v>0</v>
      </c>
      <c r="DA48" s="37"/>
      <c r="DB48" s="38"/>
      <c r="DC48" s="39" t="str">
        <f t="shared" si="56"/>
        <v>X</v>
      </c>
      <c r="DD48" s="40" t="b">
        <f>IF(ISNUMBER(DA48), IF(DC48=$H48,IF(DA48=$F48,IF(DB48=$G48,IF($F48-$G48&gt;=3,6,IF($G48-$F48&gt;=3,6,IF($F48+$G48&gt;=4,6,5))),3),3),0))</f>
        <v>0</v>
      </c>
      <c r="DE48" s="37"/>
      <c r="DF48" s="38"/>
      <c r="DG48" s="39" t="str">
        <f t="shared" si="57"/>
        <v>X</v>
      </c>
      <c r="DH48" s="40" t="b">
        <f>IF(ISNUMBER(DE48), IF(DG48=$H48,IF(DE48=$F48,IF(DF48=$G48,IF($F48-$G48&gt;=3,6,IF($G48-$F48&gt;=3,6,IF($F48+$G48&gt;=4,6,5))),3),3),0))</f>
        <v>0</v>
      </c>
      <c r="DI48" s="37"/>
      <c r="DJ48" s="38"/>
      <c r="DK48" s="39" t="str">
        <f t="shared" si="58"/>
        <v>X</v>
      </c>
      <c r="DL48" s="40" t="b">
        <f>IF(ISNUMBER(DI48), IF(DK48=$H48,IF(DI48=$F48,IF(DJ48=$G48,IF($F48-$G48&gt;=3,6,IF($G48-$F48&gt;=3,6,IF($F48+$G48&gt;=4,6,5))),3),3),0))</f>
        <v>0</v>
      </c>
      <c r="DM48" s="37"/>
      <c r="DN48" s="38"/>
      <c r="DO48" s="39" t="str">
        <f t="shared" si="29"/>
        <v>X</v>
      </c>
      <c r="DP48" s="40" t="b">
        <f>IF(ISNUMBER(DM48), IF(DO48=$H48,IF(DM48=$F48,IF(DN48=$G48,IF($F48-$G48&gt;=3,6,IF($G48-$F48&gt;=3,6,IF($F48+$G48&gt;=4,6,5))),3),3),0))</f>
        <v>0</v>
      </c>
    </row>
    <row r="49" spans="1:120" ht="13" customHeight="1" thickBot="1">
      <c r="A49" s="41"/>
      <c r="B49" s="42"/>
      <c r="C49" s="43"/>
      <c r="D49" s="44" t="s">
        <v>142</v>
      </c>
      <c r="E49" s="33">
        <f t="shared" si="30"/>
        <v>0</v>
      </c>
      <c r="F49" s="81"/>
      <c r="G49" s="82"/>
      <c r="H49" s="47" t="b">
        <f t="shared" si="31"/>
        <v>0</v>
      </c>
      <c r="I49" s="45"/>
      <c r="J49" s="46"/>
      <c r="K49" s="50" t="str">
        <f t="shared" si="32"/>
        <v>X</v>
      </c>
      <c r="L49" s="51" t="b">
        <f>IF(ISNUMBER(I49), IF(K49=$H49,IF(I49=$F49,IF(J49=$G49,2,1),1),0))</f>
        <v>0</v>
      </c>
      <c r="M49" s="45"/>
      <c r="N49" s="46"/>
      <c r="O49" s="50" t="str">
        <f t="shared" si="33"/>
        <v>X</v>
      </c>
      <c r="P49" s="51" t="b">
        <f>IF(ISNUMBER(M49), IF(O49=$H49,IF(M49=$F49,IF(N49=$G49,2,1),1),0))</f>
        <v>0</v>
      </c>
      <c r="Q49" s="45"/>
      <c r="R49" s="46"/>
      <c r="S49" s="50" t="str">
        <f t="shared" si="34"/>
        <v>X</v>
      </c>
      <c r="T49" s="51" t="b">
        <f>IF(ISNUMBER(Q49), IF(S49=$H49,IF(Q49=$F49,IF(R49=$G49,2,1),1),0))</f>
        <v>0</v>
      </c>
      <c r="U49" s="45"/>
      <c r="V49" s="46"/>
      <c r="W49" s="50" t="str">
        <f t="shared" si="35"/>
        <v>X</v>
      </c>
      <c r="X49" s="51" t="b">
        <f>IF(ISNUMBER(U49), IF(W49=$H49,IF(U49=$F49,IF(V49=$G49,2,1),1),0))</f>
        <v>0</v>
      </c>
      <c r="Y49" s="45"/>
      <c r="Z49" s="46"/>
      <c r="AA49" s="50" t="str">
        <f t="shared" si="36"/>
        <v>X</v>
      </c>
      <c r="AB49" s="51" t="b">
        <f>IF(ISNUMBER(Y49), IF(AA49=$H49,IF(Y49=$F49,IF(Z49=$G49,2,1),1),0))</f>
        <v>0</v>
      </c>
      <c r="AC49" s="45"/>
      <c r="AD49" s="46"/>
      <c r="AE49" s="50" t="str">
        <f t="shared" si="37"/>
        <v>X</v>
      </c>
      <c r="AF49" s="51" t="b">
        <f>IF(ISNUMBER(AC49), IF(AE49=$H49,IF(AC49=$F49,IF(AD49=$G49,2,1),1),0))</f>
        <v>0</v>
      </c>
      <c r="AG49" s="45"/>
      <c r="AH49" s="46"/>
      <c r="AI49" s="50" t="str">
        <f t="shared" si="38"/>
        <v>X</v>
      </c>
      <c r="AJ49" s="51" t="b">
        <f>IF(ISNUMBER(AG49), IF(AI49=$H49,IF(AG49=$F49,IF(AH49=$G49,2,1),1),0))</f>
        <v>0</v>
      </c>
      <c r="AK49" s="45"/>
      <c r="AL49" s="46"/>
      <c r="AM49" s="50" t="str">
        <f t="shared" si="39"/>
        <v>X</v>
      </c>
      <c r="AN49" s="51" t="b">
        <f>IF(ISNUMBER(AK49), IF(AM49=$H49,IF(AK49=$F49,IF(AL49=$G49,2,1),1),0))</f>
        <v>0</v>
      </c>
      <c r="AO49" s="45"/>
      <c r="AP49" s="46"/>
      <c r="AQ49" s="50" t="str">
        <f t="shared" si="40"/>
        <v>X</v>
      </c>
      <c r="AR49" s="51" t="b">
        <f>IF(ISNUMBER(AO49), IF(AQ49=$H49,IF(AO49=$F49,IF(AP49=$G49,2,1),1),0))</f>
        <v>0</v>
      </c>
      <c r="AS49" s="45"/>
      <c r="AT49" s="46"/>
      <c r="AU49" s="50" t="str">
        <f t="shared" si="41"/>
        <v>X</v>
      </c>
      <c r="AV49" s="51" t="b">
        <f>IF(ISNUMBER(AS49), IF(AU49=$H49,IF(AS49=$F49,IF(AT49=$G49,2,1),1),0))</f>
        <v>0</v>
      </c>
      <c r="AW49" s="45"/>
      <c r="AX49" s="46"/>
      <c r="AY49" s="50" t="str">
        <f t="shared" si="42"/>
        <v>X</v>
      </c>
      <c r="AZ49" s="51" t="b">
        <f>IF(ISNUMBER(AW49), IF(AY49=$H49,IF(AW49=$F49,IF(AX49=$G49,2,1),1),0))</f>
        <v>0</v>
      </c>
      <c r="BA49" s="45"/>
      <c r="BB49" s="46"/>
      <c r="BC49" s="50" t="str">
        <f t="shared" si="43"/>
        <v>X</v>
      </c>
      <c r="BD49" s="51" t="b">
        <f>IF(ISNUMBER(BA49), IF(BC49=$H49,IF(BA49=$F49,IF(BB49=$G49,2,1),1),0))</f>
        <v>0</v>
      </c>
      <c r="BE49" s="45"/>
      <c r="BF49" s="46"/>
      <c r="BG49" s="50" t="str">
        <f t="shared" si="44"/>
        <v>X</v>
      </c>
      <c r="BH49" s="51" t="b">
        <f>IF(ISNUMBER(BE49), IF(BG49=$H49,IF(BE49=$F49,IF(BF49=$G49,2,1),1),0))</f>
        <v>0</v>
      </c>
      <c r="BI49" s="45"/>
      <c r="BJ49" s="46"/>
      <c r="BK49" s="50" t="str">
        <f t="shared" si="45"/>
        <v>X</v>
      </c>
      <c r="BL49" s="51" t="b">
        <f>IF(ISNUMBER(BI49), IF(BK49=$H49,IF(BI49=$F49,IF(BJ49=$G49,2,1),1),0))</f>
        <v>0</v>
      </c>
      <c r="BM49" s="48"/>
      <c r="BN49" s="49"/>
      <c r="BO49" s="50" t="str">
        <f t="shared" si="46"/>
        <v>X</v>
      </c>
      <c r="BP49" s="51" t="b">
        <f>IF(ISNUMBER(BM49), IF(BO49=$H49,IF(BM49=$F49,IF(BN49=$G49,2,1),1),0))</f>
        <v>0</v>
      </c>
      <c r="BQ49" s="48"/>
      <c r="BR49" s="49"/>
      <c r="BS49" s="50" t="str">
        <f t="shared" si="47"/>
        <v>X</v>
      </c>
      <c r="BT49" s="51" t="b">
        <f>IF(ISNUMBER(BQ49), IF(BS49=$H49,IF(BQ49=$F49,IF(BR49=$G49,2,1),1),0))</f>
        <v>0</v>
      </c>
      <c r="BU49" s="45"/>
      <c r="BV49" s="46"/>
      <c r="BW49" s="50" t="str">
        <f t="shared" si="48"/>
        <v>X</v>
      </c>
      <c r="BX49" s="51" t="b">
        <f>IF(ISNUMBER(BU49), IF(BW49=$H49,IF(BU49=$F49,IF(BV49=$G49,2,1),1),0))</f>
        <v>0</v>
      </c>
      <c r="BY49" s="45"/>
      <c r="BZ49" s="46"/>
      <c r="CA49" s="50" t="str">
        <f t="shared" si="49"/>
        <v>X</v>
      </c>
      <c r="CB49" s="51" t="b">
        <f>IF(ISNUMBER(BY49), IF(CA49=$H49,IF(BY49=$F49,IF(BZ49=$G49,2,1),1),0))</f>
        <v>0</v>
      </c>
      <c r="CC49" s="45"/>
      <c r="CD49" s="46"/>
      <c r="CE49" s="50" t="str">
        <f t="shared" si="50"/>
        <v>X</v>
      </c>
      <c r="CF49" s="51" t="b">
        <f>IF(ISNUMBER(CC49), IF(CE49=$H49,IF(CC49=$F49,IF(CD49=$G49,2,1),1),0))</f>
        <v>0</v>
      </c>
      <c r="CG49" s="45"/>
      <c r="CH49" s="46"/>
      <c r="CI49" s="50" t="str">
        <f t="shared" si="51"/>
        <v>X</v>
      </c>
      <c r="CJ49" s="51" t="b">
        <f>IF(ISNUMBER(CG49), IF(CI49=$H49,IF(CG49=$F49,IF(CH49=$G49,2,1),1),0))</f>
        <v>0</v>
      </c>
      <c r="CK49" s="45"/>
      <c r="CL49" s="46"/>
      <c r="CM49" s="50" t="str">
        <f t="shared" si="52"/>
        <v>X</v>
      </c>
      <c r="CN49" s="51" t="b">
        <f>IF(ISNUMBER(CK49), IF(CM49=$H49,IF(CK49=$F49,IF(CL49=$G49,2,1),1),0))</f>
        <v>0</v>
      </c>
      <c r="CO49" s="45"/>
      <c r="CP49" s="46"/>
      <c r="CQ49" s="50" t="str">
        <f t="shared" si="53"/>
        <v>X</v>
      </c>
      <c r="CR49" s="51" t="b">
        <f>IF(ISNUMBER(CO49), IF(CQ49=$H49,IF(CO49=$F49,IF(CP49=$G49,2,1),1),0))</f>
        <v>0</v>
      </c>
      <c r="CS49" s="45"/>
      <c r="CT49" s="46"/>
      <c r="CU49" s="50" t="str">
        <f t="shared" si="54"/>
        <v>X</v>
      </c>
      <c r="CV49" s="51" t="b">
        <f>IF(ISNUMBER(CS49), IF(CU49=$H49,IF(CS49=$F49,IF(CT49=$G49,2,1),1),0))</f>
        <v>0</v>
      </c>
      <c r="CW49" s="48"/>
      <c r="CX49" s="49"/>
      <c r="CY49" s="50" t="str">
        <f t="shared" si="55"/>
        <v>X</v>
      </c>
      <c r="CZ49" s="51" t="b">
        <f>IF(ISNUMBER(CW49), IF(CY49=$H49,IF(CW49=$F49,IF(CX49=$G49,2,1),1),0))</f>
        <v>0</v>
      </c>
      <c r="DA49" s="48"/>
      <c r="DB49" s="49"/>
      <c r="DC49" s="50" t="str">
        <f t="shared" si="56"/>
        <v>X</v>
      </c>
      <c r="DD49" s="51" t="b">
        <f>IF(ISNUMBER(DA49), IF(DC49=$H49,IF(DA49=$F49,IF(DB49=$G49,2,1),1),0))</f>
        <v>0</v>
      </c>
      <c r="DE49" s="48"/>
      <c r="DF49" s="49"/>
      <c r="DG49" s="50" t="str">
        <f t="shared" si="57"/>
        <v>X</v>
      </c>
      <c r="DH49" s="51" t="b">
        <f>IF(ISNUMBER(DE49), IF(DG49=$H49,IF(DE49=$F49,IF(DF49=$G49,2,1),1),0))</f>
        <v>0</v>
      </c>
      <c r="DI49" s="48"/>
      <c r="DJ49" s="49"/>
      <c r="DK49" s="50" t="str">
        <f t="shared" si="58"/>
        <v>X</v>
      </c>
      <c r="DL49" s="51" t="b">
        <f>IF(ISNUMBER(DI49), IF(DK49=$H49,IF(DI49=$F49,IF(DJ49=$G49,2,1),1),0))</f>
        <v>0</v>
      </c>
      <c r="DM49" s="48"/>
      <c r="DN49" s="49"/>
      <c r="DO49" s="50" t="str">
        <f t="shared" si="29"/>
        <v>X</v>
      </c>
      <c r="DP49" s="51" t="b">
        <f>IF(ISNUMBER(DM49), IF(DO49=$H49,IF(DM49=$F49,IF(DN49=$G49,2,1),1),0))</f>
        <v>0</v>
      </c>
    </row>
    <row r="50" spans="1:120" ht="13" customHeight="1" thickBot="1">
      <c r="A50" s="41"/>
      <c r="B50" s="42"/>
      <c r="C50" s="43"/>
      <c r="D50" s="44" t="s">
        <v>143</v>
      </c>
      <c r="E50" s="33">
        <f t="shared" si="30"/>
        <v>0</v>
      </c>
      <c r="F50" s="45"/>
      <c r="G50" s="46"/>
      <c r="H50" s="47" t="b">
        <f t="shared" si="31"/>
        <v>0</v>
      </c>
      <c r="I50" s="45"/>
      <c r="J50" s="46"/>
      <c r="K50" s="50" t="str">
        <f t="shared" si="32"/>
        <v>X</v>
      </c>
      <c r="L50" s="51" t="b">
        <f>IF(ISNUMBER(I50), IF(K50=$H50,IF(I50=$F50,IF(J50=$G50,2,1),1),0))</f>
        <v>0</v>
      </c>
      <c r="M50" s="45"/>
      <c r="N50" s="46"/>
      <c r="O50" s="50" t="str">
        <f t="shared" si="33"/>
        <v>X</v>
      </c>
      <c r="P50" s="51" t="b">
        <f>IF(ISNUMBER(M50), IF(O50=$H50,IF(M50=$F50,IF(N50=$G50,2,1),1),0))</f>
        <v>0</v>
      </c>
      <c r="Q50" s="45"/>
      <c r="R50" s="46"/>
      <c r="S50" s="50" t="str">
        <f t="shared" si="34"/>
        <v>X</v>
      </c>
      <c r="T50" s="51" t="b">
        <f>IF(ISNUMBER(Q50), IF(S50=$H50,IF(Q50=$F50,IF(R50=$G50,2,1),1),0))</f>
        <v>0</v>
      </c>
      <c r="U50" s="45"/>
      <c r="V50" s="46"/>
      <c r="W50" s="50" t="str">
        <f t="shared" si="35"/>
        <v>X</v>
      </c>
      <c r="X50" s="51" t="b">
        <f>IF(ISNUMBER(U50), IF(W50=$H50,IF(U50=$F50,IF(V50=$G50,2,1),1),0))</f>
        <v>0</v>
      </c>
      <c r="Y50" s="45"/>
      <c r="Z50" s="46"/>
      <c r="AA50" s="50" t="str">
        <f t="shared" si="36"/>
        <v>X</v>
      </c>
      <c r="AB50" s="51" t="b">
        <f>IF(ISNUMBER(Y50), IF(AA50=$H50,IF(Y50=$F50,IF(Z50=$G50,2,1),1),0))</f>
        <v>0</v>
      </c>
      <c r="AC50" s="45"/>
      <c r="AD50" s="46"/>
      <c r="AE50" s="50" t="str">
        <f t="shared" si="37"/>
        <v>X</v>
      </c>
      <c r="AF50" s="51" t="b">
        <f>IF(ISNUMBER(AC50), IF(AE50=$H50,IF(AC50=$F50,IF(AD50=$G50,2,1),1),0))</f>
        <v>0</v>
      </c>
      <c r="AG50" s="45"/>
      <c r="AH50" s="46"/>
      <c r="AI50" s="50" t="str">
        <f t="shared" si="38"/>
        <v>X</v>
      </c>
      <c r="AJ50" s="51" t="b">
        <f>IF(ISNUMBER(AG50), IF(AI50=$H50,IF(AG50=$F50,IF(AH50=$G50,2,1),1),0))</f>
        <v>0</v>
      </c>
      <c r="AK50" s="45"/>
      <c r="AL50" s="46"/>
      <c r="AM50" s="50" t="str">
        <f t="shared" si="39"/>
        <v>X</v>
      </c>
      <c r="AN50" s="51" t="b">
        <f>IF(ISNUMBER(AK50), IF(AM50=$H50,IF(AK50=$F50,IF(AL50=$G50,2,1),1),0))</f>
        <v>0</v>
      </c>
      <c r="AO50" s="45"/>
      <c r="AP50" s="46"/>
      <c r="AQ50" s="50" t="str">
        <f t="shared" si="40"/>
        <v>X</v>
      </c>
      <c r="AR50" s="51" t="b">
        <f>IF(ISNUMBER(AO50), IF(AQ50=$H50,IF(AO50=$F50,IF(AP50=$G50,2,1),1),0))</f>
        <v>0</v>
      </c>
      <c r="AS50" s="45"/>
      <c r="AT50" s="46"/>
      <c r="AU50" s="50" t="str">
        <f t="shared" si="41"/>
        <v>X</v>
      </c>
      <c r="AV50" s="51" t="b">
        <f>IF(ISNUMBER(AS50), IF(AU50=$H50,IF(AS50=$F50,IF(AT50=$G50,2,1),1),0))</f>
        <v>0</v>
      </c>
      <c r="AW50" s="45"/>
      <c r="AX50" s="46"/>
      <c r="AY50" s="50" t="str">
        <f t="shared" si="42"/>
        <v>X</v>
      </c>
      <c r="AZ50" s="51" t="b">
        <f>IF(ISNUMBER(AW50), IF(AY50=$H50,IF(AW50=$F50,IF(AX50=$G50,2,1),1),0))</f>
        <v>0</v>
      </c>
      <c r="BA50" s="45"/>
      <c r="BB50" s="46"/>
      <c r="BC50" s="50" t="str">
        <f t="shared" si="43"/>
        <v>X</v>
      </c>
      <c r="BD50" s="51" t="b">
        <f>IF(ISNUMBER(BA50), IF(BC50=$H50,IF(BA50=$F50,IF(BB50=$G50,2,1),1),0))</f>
        <v>0</v>
      </c>
      <c r="BE50" s="45"/>
      <c r="BF50" s="46"/>
      <c r="BG50" s="50" t="str">
        <f t="shared" si="44"/>
        <v>X</v>
      </c>
      <c r="BH50" s="51" t="b">
        <f>IF(ISNUMBER(BE50), IF(BG50=$H50,IF(BE50=$F50,IF(BF50=$G50,2,1),1),0))</f>
        <v>0</v>
      </c>
      <c r="BI50" s="45"/>
      <c r="BJ50" s="46"/>
      <c r="BK50" s="50" t="str">
        <f t="shared" si="45"/>
        <v>X</v>
      </c>
      <c r="BL50" s="51" t="b">
        <f>IF(ISNUMBER(BI50), IF(BK50=$H50,IF(BI50=$F50,IF(BJ50=$G50,2,1),1),0))</f>
        <v>0</v>
      </c>
      <c r="BM50" s="48"/>
      <c r="BN50" s="49"/>
      <c r="BO50" s="50" t="str">
        <f t="shared" si="46"/>
        <v>X</v>
      </c>
      <c r="BP50" s="51" t="b">
        <f>IF(ISNUMBER(BM50), IF(BO50=$H50,IF(BM50=$F50,IF(BN50=$G50,2,1),1),0))</f>
        <v>0</v>
      </c>
      <c r="BQ50" s="48"/>
      <c r="BR50" s="49"/>
      <c r="BS50" s="50" t="str">
        <f t="shared" si="47"/>
        <v>X</v>
      </c>
      <c r="BT50" s="51" t="b">
        <f>IF(ISNUMBER(BQ50), IF(BS50=$H50,IF(BQ50=$F50,IF(BR50=$G50,2,1),1),0))</f>
        <v>0</v>
      </c>
      <c r="BU50" s="45"/>
      <c r="BV50" s="46"/>
      <c r="BW50" s="50" t="str">
        <f t="shared" si="48"/>
        <v>X</v>
      </c>
      <c r="BX50" s="51" t="b">
        <f>IF(ISNUMBER(BU50), IF(BW50=$H50,IF(BU50=$F50,IF(BV50=$G50,2,1),1),0))</f>
        <v>0</v>
      </c>
      <c r="BY50" s="45"/>
      <c r="BZ50" s="46"/>
      <c r="CA50" s="50" t="str">
        <f t="shared" si="49"/>
        <v>X</v>
      </c>
      <c r="CB50" s="51" t="b">
        <f>IF(ISNUMBER(BY50), IF(CA50=$H50,IF(BY50=$F50,IF(BZ50=$G50,2,1),1),0))</f>
        <v>0</v>
      </c>
      <c r="CC50" s="45"/>
      <c r="CD50" s="46"/>
      <c r="CE50" s="50" t="str">
        <f t="shared" si="50"/>
        <v>X</v>
      </c>
      <c r="CF50" s="51" t="b">
        <f>IF(ISNUMBER(CC50), IF(CE50=$H50,IF(CC50=$F50,IF(CD50=$G50,2,1),1),0))</f>
        <v>0</v>
      </c>
      <c r="CG50" s="45"/>
      <c r="CH50" s="46"/>
      <c r="CI50" s="50" t="str">
        <f t="shared" si="51"/>
        <v>X</v>
      </c>
      <c r="CJ50" s="51" t="b">
        <f>IF(ISNUMBER(CG50), IF(CI50=$H50,IF(CG50=$F50,IF(CH50=$G50,2,1),1),0))</f>
        <v>0</v>
      </c>
      <c r="CK50" s="45"/>
      <c r="CL50" s="46"/>
      <c r="CM50" s="50" t="str">
        <f t="shared" si="52"/>
        <v>X</v>
      </c>
      <c r="CN50" s="51" t="b">
        <f>IF(ISNUMBER(CK50), IF(CM50=$H50,IF(CK50=$F50,IF(CL50=$G50,2,1),1),0))</f>
        <v>0</v>
      </c>
      <c r="CO50" s="45"/>
      <c r="CP50" s="46"/>
      <c r="CQ50" s="50" t="str">
        <f t="shared" si="53"/>
        <v>X</v>
      </c>
      <c r="CR50" s="51" t="b">
        <f>IF(ISNUMBER(CO50), IF(CQ50=$H50,IF(CO50=$F50,IF(CP50=$G50,2,1),1),0))</f>
        <v>0</v>
      </c>
      <c r="CS50" s="45"/>
      <c r="CT50" s="46"/>
      <c r="CU50" s="50" t="str">
        <f t="shared" si="54"/>
        <v>X</v>
      </c>
      <c r="CV50" s="51" t="b">
        <f>IF(ISNUMBER(CS50), IF(CU50=$H50,IF(CS50=$F50,IF(CT50=$G50,2,1),1),0))</f>
        <v>0</v>
      </c>
      <c r="CW50" s="48"/>
      <c r="CX50" s="49"/>
      <c r="CY50" s="50" t="str">
        <f t="shared" si="55"/>
        <v>X</v>
      </c>
      <c r="CZ50" s="51" t="b">
        <f>IF(ISNUMBER(CW50), IF(CY50=$H50,IF(CW50=$F50,IF(CX50=$G50,2,1),1),0))</f>
        <v>0</v>
      </c>
      <c r="DA50" s="48"/>
      <c r="DB50" s="49"/>
      <c r="DC50" s="50" t="str">
        <f t="shared" si="56"/>
        <v>X</v>
      </c>
      <c r="DD50" s="51" t="b">
        <f>IF(ISNUMBER(DA50), IF(DC50=$H50,IF(DA50=$F50,IF(DB50=$G50,2,1),1),0))</f>
        <v>0</v>
      </c>
      <c r="DE50" s="48"/>
      <c r="DF50" s="49"/>
      <c r="DG50" s="50" t="str">
        <f t="shared" si="57"/>
        <v>X</v>
      </c>
      <c r="DH50" s="51" t="b">
        <f>IF(ISNUMBER(DE50), IF(DG50=$H50,IF(DE50=$F50,IF(DF50=$G50,2,1),1),0))</f>
        <v>0</v>
      </c>
      <c r="DI50" s="48"/>
      <c r="DJ50" s="49"/>
      <c r="DK50" s="50" t="str">
        <f t="shared" si="58"/>
        <v>X</v>
      </c>
      <c r="DL50" s="51" t="b">
        <f>IF(ISNUMBER(DI50), IF(DK50=$H50,IF(DI50=$F50,IF(DJ50=$G50,2,1),1),0))</f>
        <v>0</v>
      </c>
      <c r="DM50" s="48"/>
      <c r="DN50" s="49"/>
      <c r="DO50" s="50" t="str">
        <f t="shared" si="29"/>
        <v>X</v>
      </c>
      <c r="DP50" s="51" t="b">
        <f>IF(ISNUMBER(DM50), IF(DO50=$H50,IF(DM50=$F50,IF(DN50=$G50,2,1),1),0))</f>
        <v>0</v>
      </c>
    </row>
    <row r="51" spans="1:120" s="25" customFormat="1" ht="13" customHeight="1" thickBot="1">
      <c r="A51" s="52"/>
      <c r="B51" s="53"/>
      <c r="C51" s="54"/>
      <c r="D51" s="55" t="s">
        <v>144</v>
      </c>
      <c r="E51" s="33">
        <f t="shared" si="30"/>
        <v>0</v>
      </c>
      <c r="F51" s="56"/>
      <c r="G51" s="56"/>
      <c r="H51" s="57" t="b">
        <f t="shared" si="31"/>
        <v>0</v>
      </c>
      <c r="I51" s="58">
        <f>SUM(I48:I50)</f>
        <v>0</v>
      </c>
      <c r="J51" s="59">
        <f>SUM(J48:J50)</f>
        <v>0</v>
      </c>
      <c r="K51" s="59" t="str">
        <f t="shared" si="32"/>
        <v>X</v>
      </c>
      <c r="L51" s="60">
        <f>IF($H51=K51,SUM(L48:L50)+1,SUM(L48:L50))</f>
        <v>0</v>
      </c>
      <c r="M51" s="58">
        <f>SUM(M48:M50)</f>
        <v>0</v>
      </c>
      <c r="N51" s="59">
        <f>SUM(N48:N50)</f>
        <v>0</v>
      </c>
      <c r="O51" s="59" t="str">
        <f t="shared" si="33"/>
        <v>X</v>
      </c>
      <c r="P51" s="60">
        <f>IF($H51=O51,SUM(P48:P50)+1,SUM(P48:P50))</f>
        <v>0</v>
      </c>
      <c r="Q51" s="58">
        <f>SUM(Q48:Q50)</f>
        <v>0</v>
      </c>
      <c r="R51" s="59">
        <f>SUM(R48:R50)</f>
        <v>0</v>
      </c>
      <c r="S51" s="59" t="str">
        <f t="shared" si="34"/>
        <v>X</v>
      </c>
      <c r="T51" s="60">
        <f>IF($H51=S51,SUM(T48:T50)+1,SUM(T48:T50))</f>
        <v>0</v>
      </c>
      <c r="U51" s="58">
        <f>SUM(U48:U50)</f>
        <v>0</v>
      </c>
      <c r="V51" s="59">
        <f>SUM(V48:V50)</f>
        <v>0</v>
      </c>
      <c r="W51" s="59" t="str">
        <f t="shared" si="35"/>
        <v>X</v>
      </c>
      <c r="X51" s="60">
        <f>IF($H51=W51,SUM(X48:X50)+1,SUM(X48:X50))</f>
        <v>0</v>
      </c>
      <c r="Y51" s="58">
        <f>SUM(Y48:Y50)</f>
        <v>0</v>
      </c>
      <c r="Z51" s="59">
        <f>SUM(Z48:Z50)</f>
        <v>0</v>
      </c>
      <c r="AA51" s="59" t="str">
        <f t="shared" si="36"/>
        <v>X</v>
      </c>
      <c r="AB51" s="60">
        <f>IF($H51=AA51,SUM(AB48:AB50)+1,SUM(AB48:AB50))</f>
        <v>0</v>
      </c>
      <c r="AC51" s="58">
        <f>SUM(AC48:AC50)</f>
        <v>0</v>
      </c>
      <c r="AD51" s="59">
        <f>SUM(AD48:AD50)</f>
        <v>0</v>
      </c>
      <c r="AE51" s="59" t="str">
        <f t="shared" si="37"/>
        <v>X</v>
      </c>
      <c r="AF51" s="60">
        <f>IF($H51=AE51,SUM(AF48:AF50)+1,SUM(AF48:AF50))</f>
        <v>0</v>
      </c>
      <c r="AG51" s="58">
        <f>SUM(AG48:AG50)</f>
        <v>0</v>
      </c>
      <c r="AH51" s="59">
        <f>SUM(AH48:AH50)</f>
        <v>0</v>
      </c>
      <c r="AI51" s="59" t="str">
        <f t="shared" si="38"/>
        <v>X</v>
      </c>
      <c r="AJ51" s="60">
        <f>IF($H51=AI51,SUM(AJ48:AJ50)+1,SUM(AJ48:AJ50))</f>
        <v>0</v>
      </c>
      <c r="AK51" s="58">
        <f>SUM(AK48:AK50)</f>
        <v>0</v>
      </c>
      <c r="AL51" s="59">
        <f>SUM(AL48:AL50)</f>
        <v>0</v>
      </c>
      <c r="AM51" s="59" t="str">
        <f t="shared" si="39"/>
        <v>X</v>
      </c>
      <c r="AN51" s="60">
        <f>IF($H51=AM51,SUM(AN48:AN50)+1,SUM(AN48:AN50))</f>
        <v>0</v>
      </c>
      <c r="AO51" s="58">
        <f>SUM(AO48:AO50)</f>
        <v>0</v>
      </c>
      <c r="AP51" s="59">
        <f>SUM(AP48:AP50)</f>
        <v>0</v>
      </c>
      <c r="AQ51" s="59" t="str">
        <f t="shared" si="40"/>
        <v>X</v>
      </c>
      <c r="AR51" s="60">
        <f>IF($H51=AQ51,SUM(AR48:AR50)+1,SUM(AR48:AR50))</f>
        <v>0</v>
      </c>
      <c r="AS51" s="58">
        <f>SUM(AS48:AS50)</f>
        <v>0</v>
      </c>
      <c r="AT51" s="59">
        <f>SUM(AT48:AT50)</f>
        <v>0</v>
      </c>
      <c r="AU51" s="59" t="str">
        <f t="shared" si="41"/>
        <v>X</v>
      </c>
      <c r="AV51" s="60">
        <f>IF($H51=AU51,SUM(AV48:AV50)+1,SUM(AV48:AV50))</f>
        <v>0</v>
      </c>
      <c r="AW51" s="58">
        <f>SUM(AW48:AW50)</f>
        <v>0</v>
      </c>
      <c r="AX51" s="59">
        <f>SUM(AX48:AX50)</f>
        <v>0</v>
      </c>
      <c r="AY51" s="59" t="str">
        <f t="shared" si="42"/>
        <v>X</v>
      </c>
      <c r="AZ51" s="60">
        <f>IF($H51=AY51,SUM(AZ48:AZ50)+1,SUM(AZ48:AZ50))</f>
        <v>0</v>
      </c>
      <c r="BA51" s="58">
        <f>SUM(BA48:BA50)</f>
        <v>0</v>
      </c>
      <c r="BB51" s="59">
        <f>SUM(BB48:BB50)</f>
        <v>0</v>
      </c>
      <c r="BC51" s="59" t="str">
        <f t="shared" si="43"/>
        <v>X</v>
      </c>
      <c r="BD51" s="60">
        <f>IF($H51=BC51,SUM(BD48:BD50)+1,SUM(BD48:BD50))</f>
        <v>0</v>
      </c>
      <c r="BE51" s="58">
        <f>SUM(BE48:BE50)</f>
        <v>0</v>
      </c>
      <c r="BF51" s="59">
        <f>SUM(BF48:BF50)</f>
        <v>0</v>
      </c>
      <c r="BG51" s="59" t="str">
        <f t="shared" si="44"/>
        <v>X</v>
      </c>
      <c r="BH51" s="60">
        <f>IF($H51=BG51,SUM(BH48:BH50)+1,SUM(BH48:BH50))</f>
        <v>0</v>
      </c>
      <c r="BI51" s="58">
        <f>SUM(BI48:BI50)</f>
        <v>0</v>
      </c>
      <c r="BJ51" s="59">
        <f>SUM(BJ48:BJ50)</f>
        <v>0</v>
      </c>
      <c r="BK51" s="59" t="str">
        <f t="shared" si="45"/>
        <v>X</v>
      </c>
      <c r="BL51" s="60">
        <f>IF($H51=BK51,SUM(BL48:BL50)+1,SUM(BL48:BL50))</f>
        <v>0</v>
      </c>
      <c r="BM51" s="58">
        <f>SUM(BM48:BM50)</f>
        <v>0</v>
      </c>
      <c r="BN51" s="59">
        <f>SUM(BN48:BN50)</f>
        <v>0</v>
      </c>
      <c r="BO51" s="59" t="str">
        <f t="shared" si="46"/>
        <v>X</v>
      </c>
      <c r="BP51" s="60">
        <f>IF($H51=BO51,SUM(BP48:BP50)+1,SUM(BP48:BP50))</f>
        <v>0</v>
      </c>
      <c r="BQ51" s="58">
        <f>SUM(BQ48:BQ50)</f>
        <v>0</v>
      </c>
      <c r="BR51" s="59">
        <f>SUM(BR48:BR50)</f>
        <v>0</v>
      </c>
      <c r="BS51" s="59" t="str">
        <f t="shared" si="47"/>
        <v>X</v>
      </c>
      <c r="BT51" s="60">
        <f>IF($H51=BS51,SUM(BT48:BT50)+1,SUM(BT48:BT50))</f>
        <v>0</v>
      </c>
      <c r="BU51" s="58">
        <f>SUM(BU48:BU50)</f>
        <v>0</v>
      </c>
      <c r="BV51" s="59">
        <f>SUM(BV48:BV50)</f>
        <v>0</v>
      </c>
      <c r="BW51" s="59" t="str">
        <f t="shared" si="48"/>
        <v>X</v>
      </c>
      <c r="BX51" s="60">
        <f>IF($H51=BW51,SUM(BX48:BX50)+1,SUM(BX48:BX50))</f>
        <v>0</v>
      </c>
      <c r="BY51" s="58">
        <f>SUM(BY48:BY50)</f>
        <v>0</v>
      </c>
      <c r="BZ51" s="59">
        <f>SUM(BZ48:BZ50)</f>
        <v>0</v>
      </c>
      <c r="CA51" s="59" t="str">
        <f t="shared" si="49"/>
        <v>X</v>
      </c>
      <c r="CB51" s="60">
        <f>IF($H51=CA51,SUM(CB48:CB50)+1,SUM(CB48:CB50))</f>
        <v>0</v>
      </c>
      <c r="CC51" s="58">
        <f>SUM(CC48:CC50)</f>
        <v>0</v>
      </c>
      <c r="CD51" s="59">
        <f>SUM(CD48:CD50)</f>
        <v>0</v>
      </c>
      <c r="CE51" s="59" t="str">
        <f t="shared" si="50"/>
        <v>X</v>
      </c>
      <c r="CF51" s="60">
        <f>IF($H51=CE51,SUM(CF48:CF50)+1,SUM(CF48:CF50))</f>
        <v>0</v>
      </c>
      <c r="CG51" s="58">
        <f>SUM(CG48:CG50)</f>
        <v>0</v>
      </c>
      <c r="CH51" s="59">
        <f>SUM(CH48:CH50)</f>
        <v>0</v>
      </c>
      <c r="CI51" s="59" t="str">
        <f t="shared" si="51"/>
        <v>X</v>
      </c>
      <c r="CJ51" s="60">
        <f>IF($H51=CI51,SUM(CJ48:CJ50)+1,SUM(CJ48:CJ50))</f>
        <v>0</v>
      </c>
      <c r="CK51" s="58">
        <f>SUM(CK48:CK50)</f>
        <v>0</v>
      </c>
      <c r="CL51" s="59">
        <f>SUM(CL48:CL50)</f>
        <v>0</v>
      </c>
      <c r="CM51" s="59" t="str">
        <f t="shared" si="52"/>
        <v>X</v>
      </c>
      <c r="CN51" s="60">
        <f>IF($H51=CM51,SUM(CN48:CN50)+1,SUM(CN48:CN50))</f>
        <v>0</v>
      </c>
      <c r="CO51" s="58">
        <f>SUM(CO48:CO50)</f>
        <v>0</v>
      </c>
      <c r="CP51" s="59">
        <f>SUM(CP48:CP50)</f>
        <v>0</v>
      </c>
      <c r="CQ51" s="59" t="str">
        <f t="shared" si="53"/>
        <v>X</v>
      </c>
      <c r="CR51" s="60">
        <f>IF($H51=CQ51,SUM(CR48:CR50)+1,SUM(CR48:CR50))</f>
        <v>0</v>
      </c>
      <c r="CS51" s="58">
        <f>SUM(CS48:CS50)</f>
        <v>0</v>
      </c>
      <c r="CT51" s="59">
        <f>SUM(CT48:CT50)</f>
        <v>0</v>
      </c>
      <c r="CU51" s="59" t="str">
        <f t="shared" si="54"/>
        <v>X</v>
      </c>
      <c r="CV51" s="60">
        <f>IF($H51=CU51,SUM(CV48:CV50)+1,SUM(CV48:CV50))</f>
        <v>0</v>
      </c>
      <c r="CW51" s="58">
        <f>SUM(CW48:CW50)</f>
        <v>0</v>
      </c>
      <c r="CX51" s="59">
        <f>SUM(CX48:CX50)</f>
        <v>0</v>
      </c>
      <c r="CY51" s="59" t="str">
        <f t="shared" si="55"/>
        <v>X</v>
      </c>
      <c r="CZ51" s="60">
        <f>IF($H51=CY51,SUM(CZ48:CZ50)+1,SUM(CZ48:CZ50))</f>
        <v>0</v>
      </c>
      <c r="DA51" s="58">
        <f>SUM(DA48:DA50)</f>
        <v>0</v>
      </c>
      <c r="DB51" s="59">
        <f>SUM(DB48:DB50)</f>
        <v>0</v>
      </c>
      <c r="DC51" s="59" t="str">
        <f t="shared" si="56"/>
        <v>X</v>
      </c>
      <c r="DD51" s="60">
        <f>IF($H51=DC51,SUM(DD48:DD50)+1,SUM(DD48:DD50))</f>
        <v>0</v>
      </c>
      <c r="DE51" s="58">
        <f>SUM(DE48:DE50)</f>
        <v>0</v>
      </c>
      <c r="DF51" s="59">
        <f>SUM(DF48:DF50)</f>
        <v>0</v>
      </c>
      <c r="DG51" s="59" t="str">
        <f t="shared" si="57"/>
        <v>X</v>
      </c>
      <c r="DH51" s="60">
        <f>IF($H51=DG51,SUM(DH48:DH50)+1,SUM(DH48:DH50))</f>
        <v>0</v>
      </c>
      <c r="DI51" s="58">
        <f>SUM(DI48:DI50)</f>
        <v>0</v>
      </c>
      <c r="DJ51" s="59">
        <f>SUM(DJ48:DJ50)</f>
        <v>0</v>
      </c>
      <c r="DK51" s="59" t="str">
        <f t="shared" si="58"/>
        <v>X</v>
      </c>
      <c r="DL51" s="60">
        <f>IF($H51=DK51,SUM(DL48:DL50)+1,SUM(DL48:DL50))</f>
        <v>0</v>
      </c>
      <c r="DM51" s="58">
        <f>SUM(DM48:DM50)</f>
        <v>0</v>
      </c>
      <c r="DN51" s="59">
        <f>SUM(DN48:DN50)</f>
        <v>0</v>
      </c>
      <c r="DO51" s="59" t="str">
        <f t="shared" si="29"/>
        <v>X</v>
      </c>
      <c r="DP51" s="60">
        <f>IF($H51=DO51,SUM(DP48:DP50)+1,SUM(DP48:DP50))</f>
        <v>0</v>
      </c>
    </row>
    <row r="52" spans="1:120" ht="13" customHeight="1" thickBot="1">
      <c r="A52" s="113">
        <f>A48+3</f>
        <v>43446</v>
      </c>
      <c r="B52" s="30" t="s">
        <v>146</v>
      </c>
      <c r="C52" s="31"/>
      <c r="D52" s="32" t="s">
        <v>141</v>
      </c>
      <c r="E52" s="33">
        <f t="shared" si="30"/>
        <v>0</v>
      </c>
      <c r="F52" s="34"/>
      <c r="G52" s="35"/>
      <c r="H52" s="36" t="b">
        <f t="shared" si="31"/>
        <v>0</v>
      </c>
      <c r="I52" s="34"/>
      <c r="J52" s="35"/>
      <c r="K52" s="39" t="str">
        <f t="shared" si="32"/>
        <v>X</v>
      </c>
      <c r="L52" s="40" t="b">
        <f>IF(ISNUMBER(I52), IF(K52=$H52,IF(I52=$F52,IF(J52=$G52,IF($F52-$G52&gt;=3,6,IF($G52-$F52&gt;=3,6,IF($F52+$G52&gt;=4,6,5))),3),3),0))</f>
        <v>0</v>
      </c>
      <c r="M52" s="34"/>
      <c r="N52" s="35"/>
      <c r="O52" s="39" t="str">
        <f t="shared" si="33"/>
        <v>X</v>
      </c>
      <c r="P52" s="40" t="b">
        <f>IF(ISNUMBER(M52), IF(O52=$H52,IF(M52=$F52,IF(N52=$G52,IF($F52-$G52&gt;=3,6,IF($G52-$F52&gt;=3,6,IF($F52+$G52&gt;=4,6,5))),3),3),0))</f>
        <v>0</v>
      </c>
      <c r="Q52" s="34"/>
      <c r="R52" s="35"/>
      <c r="S52" s="39" t="str">
        <f t="shared" si="34"/>
        <v>X</v>
      </c>
      <c r="T52" s="40" t="b">
        <f>IF(ISNUMBER(Q52), IF(S52=$H52,IF(Q52=$F52,IF(R52=$G52,IF($F52-$G52&gt;=3,6,IF($G52-$F52&gt;=3,6,IF($F52+$G52&gt;=4,6,5))),3),3),0))</f>
        <v>0</v>
      </c>
      <c r="U52" s="34"/>
      <c r="V52" s="35"/>
      <c r="W52" s="39" t="str">
        <f t="shared" si="35"/>
        <v>X</v>
      </c>
      <c r="X52" s="40" t="b">
        <f>IF(ISNUMBER(U52), IF(W52=$H52,IF(U52=$F52,IF(V52=$G52,IF($F52-$G52&gt;=3,6,IF($G52-$F52&gt;=3,6,IF($F52+$G52&gt;=4,6,5))),3),3),0))</f>
        <v>0</v>
      </c>
      <c r="Y52" s="34"/>
      <c r="Z52" s="35"/>
      <c r="AA52" s="39" t="str">
        <f t="shared" si="36"/>
        <v>X</v>
      </c>
      <c r="AB52" s="40" t="b">
        <f>IF(ISNUMBER(Y52), IF(AA52=$H52,IF(Y52=$F52,IF(Z52=$G52,IF($F52-$G52&gt;=3,6,IF($G52-$F52&gt;=3,6,IF($F52+$G52&gt;=4,6,5))),3),3),0))</f>
        <v>0</v>
      </c>
      <c r="AC52" s="34"/>
      <c r="AD52" s="35"/>
      <c r="AE52" s="39" t="str">
        <f t="shared" si="37"/>
        <v>X</v>
      </c>
      <c r="AF52" s="40" t="b">
        <f>IF(ISNUMBER(AC52), IF(AE52=$H52,IF(AC52=$F52,IF(AD52=$G52,IF($F52-$G52&gt;=3,6,IF($G52-$F52&gt;=3,6,IF($F52+$G52&gt;=4,6,5))),3),3),0))</f>
        <v>0</v>
      </c>
      <c r="AG52" s="34"/>
      <c r="AH52" s="35"/>
      <c r="AI52" s="39" t="str">
        <f t="shared" si="38"/>
        <v>X</v>
      </c>
      <c r="AJ52" s="40" t="b">
        <f>IF(ISNUMBER(AG52), IF(AI52=$H52,IF(AG52=$F52,IF(AH52=$G52,IF($F52-$G52&gt;=3,6,IF($G52-$F52&gt;=3,6,IF($F52+$G52&gt;=4,6,5))),3),3),0))</f>
        <v>0</v>
      </c>
      <c r="AK52" s="37"/>
      <c r="AL52" s="38"/>
      <c r="AM52" s="39" t="str">
        <f t="shared" si="39"/>
        <v>X</v>
      </c>
      <c r="AN52" s="40" t="b">
        <f>IF(ISNUMBER(AK52), IF(AM52=$H52,IF(AK52=$F52,IF(AL52=$G52,IF($F52-$G52&gt;=3,6,IF($G52-$F52&gt;=3,6,IF($F52+$G52&gt;=4,6,5))),3),3),0))</f>
        <v>0</v>
      </c>
      <c r="AO52" s="34"/>
      <c r="AP52" s="35"/>
      <c r="AQ52" s="39" t="str">
        <f t="shared" si="40"/>
        <v>X</v>
      </c>
      <c r="AR52" s="40" t="b">
        <f>IF(ISNUMBER(AO52), IF(AQ52=$H52,IF(AO52=$F52,IF(AP52=$G52,IF($F52-$G52&gt;=3,6,IF($G52-$F52&gt;=3,6,IF($F52+$G52&gt;=4,6,5))),3),3),0))</f>
        <v>0</v>
      </c>
      <c r="AS52" s="34"/>
      <c r="AT52" s="35"/>
      <c r="AU52" s="39" t="str">
        <f t="shared" si="41"/>
        <v>X</v>
      </c>
      <c r="AV52" s="40" t="b">
        <f>IF(ISNUMBER(AS52), IF(AU52=$H52,IF(AS52=$F52,IF(AT52=$G52,IF($F52-$G52&gt;=3,6,IF($G52-$F52&gt;=3,6,IF($F52+$G52&gt;=4,6,5))),3),3),0))</f>
        <v>0</v>
      </c>
      <c r="AW52" s="34"/>
      <c r="AX52" s="35"/>
      <c r="AY52" s="39" t="str">
        <f t="shared" si="42"/>
        <v>X</v>
      </c>
      <c r="AZ52" s="40" t="b">
        <f>IF(ISNUMBER(AW52), IF(AY52=$H52,IF(AW52=$F52,IF(AX52=$G52,IF($F52-$G52&gt;=3,6,IF($G52-$F52&gt;=3,6,IF($F52+$G52&gt;=4,6,5))),3),3),0))</f>
        <v>0</v>
      </c>
      <c r="BA52" s="37"/>
      <c r="BB52" s="38"/>
      <c r="BC52" s="39" t="str">
        <f t="shared" si="43"/>
        <v>X</v>
      </c>
      <c r="BD52" s="40" t="b">
        <f>IF(ISNUMBER(BA52), IF(BC52=$H52,IF(BA52=$F52,IF(BB52=$G52,IF($F52-$G52&gt;=3,6,IF($G52-$F52&gt;=3,6,IF($F52+$G52&gt;=4,6,5))),3),3),0))</f>
        <v>0</v>
      </c>
      <c r="BE52" s="34"/>
      <c r="BF52" s="35"/>
      <c r="BG52" s="39" t="str">
        <f t="shared" si="44"/>
        <v>X</v>
      </c>
      <c r="BH52" s="40" t="b">
        <f>IF(ISNUMBER(BE52), IF(BG52=$H52,IF(BE52=$F52,IF(BF52=$G52,IF($F52-$G52&gt;=3,6,IF($G52-$F52&gt;=3,6,IF($F52+$G52&gt;=4,6,5))),3),3),0))</f>
        <v>0</v>
      </c>
      <c r="BI52" s="37"/>
      <c r="BJ52" s="38"/>
      <c r="BK52" s="39" t="str">
        <f t="shared" si="45"/>
        <v>X</v>
      </c>
      <c r="BL52" s="40" t="b">
        <f>IF(ISNUMBER(BI52), IF(BK52=$H52,IF(BI52=$F52,IF(BJ52=$G52,IF($F52-$G52&gt;=3,6,IF($G52-$F52&gt;=3,6,IF($F52+$G52&gt;=4,6,5))),3),3),0))</f>
        <v>0</v>
      </c>
      <c r="BM52" s="37"/>
      <c r="BN52" s="38"/>
      <c r="BO52" s="39" t="str">
        <f t="shared" si="46"/>
        <v>X</v>
      </c>
      <c r="BP52" s="40" t="b">
        <f>IF(ISNUMBER(BM52), IF(BO52=$H52,IF(BM52=$F52,IF(BN52=$G52,IF($F52-$G52&gt;=3,6,IF($G52-$F52&gt;=3,6,IF($F52+$G52&gt;=4,6,5))),3),3),0))</f>
        <v>0</v>
      </c>
      <c r="BQ52" s="37"/>
      <c r="BR52" s="38"/>
      <c r="BS52" s="39" t="str">
        <f t="shared" si="47"/>
        <v>X</v>
      </c>
      <c r="BT52" s="40" t="b">
        <f>IF(ISNUMBER(BQ52), IF(BS52=$H52,IF(BQ52=$F52,IF(BR52=$G52,IF($F52-$G52&gt;=3,6,IF($G52-$F52&gt;=3,6,IF($F52+$G52&gt;=4,6,5))),3),3),0))</f>
        <v>0</v>
      </c>
      <c r="BU52" s="34"/>
      <c r="BV52" s="35"/>
      <c r="BW52" s="39" t="str">
        <f t="shared" si="48"/>
        <v>X</v>
      </c>
      <c r="BX52" s="40" t="b">
        <f>IF(ISNUMBER(BU52), IF(BW52=$H52,IF(BU52=$F52,IF(BV52=$G52,IF($F52-$G52&gt;=3,6,IF($G52-$F52&gt;=3,6,IF($F52+$G52&gt;=4,6,5))),3),3),0))</f>
        <v>0</v>
      </c>
      <c r="BY52" s="34"/>
      <c r="BZ52" s="35"/>
      <c r="CA52" s="39" t="str">
        <f t="shared" si="49"/>
        <v>X</v>
      </c>
      <c r="CB52" s="40" t="b">
        <f>IF(ISNUMBER(BY52), IF(CA52=$H52,IF(BY52=$F52,IF(BZ52=$G52,IF($F52-$G52&gt;=3,6,IF($G52-$F52&gt;=3,6,IF($F52+$G52&gt;=4,6,5))),3),3),0))</f>
        <v>0</v>
      </c>
      <c r="CC52" s="37"/>
      <c r="CD52" s="38"/>
      <c r="CE52" s="39" t="str">
        <f t="shared" si="50"/>
        <v>X</v>
      </c>
      <c r="CF52" s="40" t="b">
        <f>IF(ISNUMBER(CC52), IF(CE52=$H52,IF(CC52=$F52,IF(CD52=$G52,IF($F52-$G52&gt;=3,6,IF($G52-$F52&gt;=3,6,IF($F52+$G52&gt;=4,6,5))),3),3),0))</f>
        <v>0</v>
      </c>
      <c r="CG52" s="34"/>
      <c r="CH52" s="35"/>
      <c r="CI52" s="39" t="str">
        <f t="shared" si="51"/>
        <v>X</v>
      </c>
      <c r="CJ52" s="40" t="b">
        <f>IF(ISNUMBER(CG52), IF(CI52=$H52,IF(CG52=$F52,IF(CH52=$G52,IF($F52-$G52&gt;=3,6,IF($G52-$F52&gt;=3,6,IF($F52+$G52&gt;=4,6,5))),3),3),0))</f>
        <v>0</v>
      </c>
      <c r="CK52" s="34"/>
      <c r="CL52" s="35"/>
      <c r="CM52" s="39" t="str">
        <f t="shared" si="52"/>
        <v>X</v>
      </c>
      <c r="CN52" s="40" t="b">
        <f>IF(ISNUMBER(CK52), IF(CM52=$H52,IF(CK52=$F52,IF(CL52=$G52,IF($F52-$G52&gt;=3,6,IF($G52-$F52&gt;=3,6,IF($F52+$G52&gt;=4,6,5))),3),3),0))</f>
        <v>0</v>
      </c>
      <c r="CO52" s="37"/>
      <c r="CP52" s="38"/>
      <c r="CQ52" s="39" t="str">
        <f t="shared" si="53"/>
        <v>X</v>
      </c>
      <c r="CR52" s="40" t="b">
        <f>IF(ISNUMBER(CO52), IF(CQ52=$H52,IF(CO52=$F52,IF(CP52=$G52,IF($F52-$G52&gt;=3,6,IF($G52-$F52&gt;=3,6,IF($F52+$G52&gt;=4,6,5))),3),3),0))</f>
        <v>0</v>
      </c>
      <c r="CS52" s="37"/>
      <c r="CT52" s="38"/>
      <c r="CU52" s="39" t="str">
        <f t="shared" si="54"/>
        <v>X</v>
      </c>
      <c r="CV52" s="40" t="b">
        <f>IF(ISNUMBER(CS52), IF(CU52=$H52,IF(CS52=$F52,IF(CT52=$G52,IF($F52-$G52&gt;=3,6,IF($G52-$F52&gt;=3,6,IF($F52+$G52&gt;=4,6,5))),3),3),0))</f>
        <v>0</v>
      </c>
      <c r="CW52" s="37"/>
      <c r="CX52" s="38"/>
      <c r="CY52" s="39" t="str">
        <f t="shared" si="55"/>
        <v>X</v>
      </c>
      <c r="CZ52" s="40" t="b">
        <f>IF(ISNUMBER(CW52), IF(CY52=$H52,IF(CW52=$F52,IF(CX52=$G52,IF($F52-$G52&gt;=3,6,IF($G52-$F52&gt;=3,6,IF($F52+$G52&gt;=4,6,5))),3),3),0))</f>
        <v>0</v>
      </c>
      <c r="DA52" s="37"/>
      <c r="DB52" s="38"/>
      <c r="DC52" s="39" t="str">
        <f t="shared" si="56"/>
        <v>X</v>
      </c>
      <c r="DD52" s="40" t="b">
        <f>IF(ISNUMBER(DA52), IF(DC52=$H52,IF(DA52=$F52,IF(DB52=$G52,IF($F52-$G52&gt;=3,6,IF($G52-$F52&gt;=3,6,IF($F52+$G52&gt;=4,6,5))),3),3),0))</f>
        <v>0</v>
      </c>
      <c r="DE52" s="37"/>
      <c r="DF52" s="38"/>
      <c r="DG52" s="39" t="str">
        <f t="shared" si="57"/>
        <v>X</v>
      </c>
      <c r="DH52" s="40" t="b">
        <f>IF(ISNUMBER(DE52), IF(DG52=$H52,IF(DE52=$F52,IF(DF52=$G52,IF($F52-$G52&gt;=3,6,IF($G52-$F52&gt;=3,6,IF($F52+$G52&gt;=4,6,5))),3),3),0))</f>
        <v>0</v>
      </c>
      <c r="DI52" s="37"/>
      <c r="DJ52" s="38"/>
      <c r="DK52" s="39" t="str">
        <f t="shared" si="58"/>
        <v>X</v>
      </c>
      <c r="DL52" s="40" t="b">
        <f>IF(ISNUMBER(DI52), IF(DK52=$H52,IF(DI52=$F52,IF(DJ52=$G52,IF($F52-$G52&gt;=3,6,IF($G52-$F52&gt;=3,6,IF($F52+$G52&gt;=4,6,5))),3),3),0))</f>
        <v>0</v>
      </c>
      <c r="DM52" s="37"/>
      <c r="DN52" s="38"/>
      <c r="DO52" s="39" t="str">
        <f t="shared" si="29"/>
        <v>X</v>
      </c>
      <c r="DP52" s="40" t="b">
        <f>IF(ISNUMBER(DM52), IF(DO52=$H52,IF(DM52=$F52,IF(DN52=$G52,IF($F52-$G52&gt;=3,6,IF($G52-$F52&gt;=3,6,IF($F52+$G52&gt;=4,6,5))),3),3),0))</f>
        <v>0</v>
      </c>
    </row>
    <row r="53" spans="1:120" ht="13" customHeight="1" thickBot="1">
      <c r="A53" s="41"/>
      <c r="B53" s="42"/>
      <c r="C53" s="43"/>
      <c r="D53" s="44" t="s">
        <v>142</v>
      </c>
      <c r="E53" s="33">
        <f t="shared" si="30"/>
        <v>0</v>
      </c>
      <c r="F53" s="45"/>
      <c r="G53" s="46"/>
      <c r="H53" s="47" t="b">
        <f t="shared" si="31"/>
        <v>0</v>
      </c>
      <c r="I53" s="45"/>
      <c r="J53" s="46"/>
      <c r="K53" s="50" t="str">
        <f t="shared" si="32"/>
        <v>X</v>
      </c>
      <c r="L53" s="51" t="b">
        <f>IF(ISNUMBER(I53), IF(K53=$H53,IF(I53=$F53,IF(J53=$G53,2,1),1),0))</f>
        <v>0</v>
      </c>
      <c r="M53" s="45"/>
      <c r="N53" s="46"/>
      <c r="O53" s="50" t="str">
        <f t="shared" si="33"/>
        <v>X</v>
      </c>
      <c r="P53" s="51" t="b">
        <f>IF(ISNUMBER(M53), IF(O53=$H53,IF(M53=$F53,IF(N53=$G53,2,1),1),0))</f>
        <v>0</v>
      </c>
      <c r="Q53" s="45"/>
      <c r="R53" s="46"/>
      <c r="S53" s="50" t="str">
        <f t="shared" si="34"/>
        <v>X</v>
      </c>
      <c r="T53" s="51" t="b">
        <f>IF(ISNUMBER(Q53), IF(S53=$H53,IF(Q53=$F53,IF(R53=$G53,2,1),1),0))</f>
        <v>0</v>
      </c>
      <c r="U53" s="45"/>
      <c r="V53" s="46"/>
      <c r="W53" s="50" t="str">
        <f t="shared" si="35"/>
        <v>X</v>
      </c>
      <c r="X53" s="51" t="b">
        <f>IF(ISNUMBER(U53), IF(W53=$H53,IF(U53=$F53,IF(V53=$G53,2,1),1),0))</f>
        <v>0</v>
      </c>
      <c r="Y53" s="45"/>
      <c r="Z53" s="46"/>
      <c r="AA53" s="50" t="str">
        <f t="shared" si="36"/>
        <v>X</v>
      </c>
      <c r="AB53" s="51" t="b">
        <f>IF(ISNUMBER(Y53), IF(AA53=$H53,IF(Y53=$F53,IF(Z53=$G53,2,1),1),0))</f>
        <v>0</v>
      </c>
      <c r="AC53" s="45"/>
      <c r="AD53" s="46"/>
      <c r="AE53" s="50" t="str">
        <f t="shared" si="37"/>
        <v>X</v>
      </c>
      <c r="AF53" s="51" t="b">
        <f>IF(ISNUMBER(AC53), IF(AE53=$H53,IF(AC53=$F53,IF(AD53=$G53,2,1),1),0))</f>
        <v>0</v>
      </c>
      <c r="AG53" s="45"/>
      <c r="AH53" s="46"/>
      <c r="AI53" s="50" t="str">
        <f t="shared" si="38"/>
        <v>X</v>
      </c>
      <c r="AJ53" s="51" t="b">
        <f>IF(ISNUMBER(AG53), IF(AI53=$H53,IF(AG53=$F53,IF(AH53=$G53,2,1),1),0))</f>
        <v>0</v>
      </c>
      <c r="AK53" s="48"/>
      <c r="AL53" s="49"/>
      <c r="AM53" s="50" t="str">
        <f t="shared" si="39"/>
        <v>X</v>
      </c>
      <c r="AN53" s="51" t="b">
        <f>IF(ISNUMBER(AK53), IF(AM53=$H53,IF(AK53=$F53,IF(AL53=$G53,2,1),1),0))</f>
        <v>0</v>
      </c>
      <c r="AO53" s="45"/>
      <c r="AP53" s="46"/>
      <c r="AQ53" s="50" t="str">
        <f t="shared" si="40"/>
        <v>X</v>
      </c>
      <c r="AR53" s="51" t="b">
        <f>IF(ISNUMBER(AO53), IF(AQ53=$H53,IF(AO53=$F53,IF(AP53=$G53,2,1),1),0))</f>
        <v>0</v>
      </c>
      <c r="AS53" s="45"/>
      <c r="AT53" s="46"/>
      <c r="AU53" s="50" t="str">
        <f t="shared" si="41"/>
        <v>X</v>
      </c>
      <c r="AV53" s="51" t="b">
        <f>IF(ISNUMBER(AS53), IF(AU53=$H53,IF(AS53=$F53,IF(AT53=$G53,2,1),1),0))</f>
        <v>0</v>
      </c>
      <c r="AW53" s="45"/>
      <c r="AX53" s="46"/>
      <c r="AY53" s="50" t="str">
        <f t="shared" si="42"/>
        <v>X</v>
      </c>
      <c r="AZ53" s="51" t="b">
        <f>IF(ISNUMBER(AW53), IF(AY53=$H53,IF(AW53=$F53,IF(AX53=$G53,2,1),1),0))</f>
        <v>0</v>
      </c>
      <c r="BA53" s="48"/>
      <c r="BB53" s="49"/>
      <c r="BC53" s="50" t="str">
        <f t="shared" si="43"/>
        <v>X</v>
      </c>
      <c r="BD53" s="51" t="b">
        <f>IF(ISNUMBER(BA53), IF(BC53=$H53,IF(BA53=$F53,IF(BB53=$G53,2,1),1),0))</f>
        <v>0</v>
      </c>
      <c r="BE53" s="45"/>
      <c r="BF53" s="46"/>
      <c r="BG53" s="50" t="str">
        <f t="shared" si="44"/>
        <v>X</v>
      </c>
      <c r="BH53" s="51" t="b">
        <f>IF(ISNUMBER(BE53), IF(BG53=$H53,IF(BE53=$F53,IF(BF53=$G53,2,1),1),0))</f>
        <v>0</v>
      </c>
      <c r="BI53" s="48"/>
      <c r="BJ53" s="49"/>
      <c r="BK53" s="50" t="str">
        <f t="shared" si="45"/>
        <v>X</v>
      </c>
      <c r="BL53" s="51" t="b">
        <f>IF(ISNUMBER(BI53), IF(BK53=$H53,IF(BI53=$F53,IF(BJ53=$G53,2,1),1),0))</f>
        <v>0</v>
      </c>
      <c r="BM53" s="48"/>
      <c r="BN53" s="49"/>
      <c r="BO53" s="50" t="str">
        <f t="shared" si="46"/>
        <v>X</v>
      </c>
      <c r="BP53" s="51" t="b">
        <f>IF(ISNUMBER(BM53), IF(BO53=$H53,IF(BM53=$F53,IF(BN53=$G53,2,1),1),0))</f>
        <v>0</v>
      </c>
      <c r="BQ53" s="48"/>
      <c r="BR53" s="49"/>
      <c r="BS53" s="50" t="str">
        <f t="shared" si="47"/>
        <v>X</v>
      </c>
      <c r="BT53" s="51" t="b">
        <f>IF(ISNUMBER(BQ53), IF(BS53=$H53,IF(BQ53=$F53,IF(BR53=$G53,2,1),1),0))</f>
        <v>0</v>
      </c>
      <c r="BU53" s="45"/>
      <c r="BV53" s="46"/>
      <c r="BW53" s="50" t="str">
        <f t="shared" si="48"/>
        <v>X</v>
      </c>
      <c r="BX53" s="51" t="b">
        <f>IF(ISNUMBER(BU53), IF(BW53=$H53,IF(BU53=$F53,IF(BV53=$G53,2,1),1),0))</f>
        <v>0</v>
      </c>
      <c r="BY53" s="45"/>
      <c r="BZ53" s="46"/>
      <c r="CA53" s="50" t="str">
        <f t="shared" si="49"/>
        <v>X</v>
      </c>
      <c r="CB53" s="51" t="b">
        <f>IF(ISNUMBER(BY53), IF(CA53=$H53,IF(BY53=$F53,IF(BZ53=$G53,2,1),1),0))</f>
        <v>0</v>
      </c>
      <c r="CC53" s="48"/>
      <c r="CD53" s="49"/>
      <c r="CE53" s="50" t="str">
        <f t="shared" si="50"/>
        <v>X</v>
      </c>
      <c r="CF53" s="51" t="b">
        <f>IF(ISNUMBER(CC53), IF(CE53=$H53,IF(CC53=$F53,IF(CD53=$G53,2,1),1),0))</f>
        <v>0</v>
      </c>
      <c r="CG53" s="45"/>
      <c r="CH53" s="46"/>
      <c r="CI53" s="50" t="str">
        <f t="shared" si="51"/>
        <v>X</v>
      </c>
      <c r="CJ53" s="51" t="b">
        <f>IF(ISNUMBER(CG53), IF(CI53=$H53,IF(CG53=$F53,IF(CH53=$G53,2,1),1),0))</f>
        <v>0</v>
      </c>
      <c r="CK53" s="45"/>
      <c r="CL53" s="46"/>
      <c r="CM53" s="50" t="str">
        <f t="shared" si="52"/>
        <v>X</v>
      </c>
      <c r="CN53" s="51" t="b">
        <f>IF(ISNUMBER(CK53), IF(CM53=$H53,IF(CK53=$F53,IF(CL53=$G53,2,1),1),0))</f>
        <v>0</v>
      </c>
      <c r="CO53" s="48"/>
      <c r="CP53" s="49"/>
      <c r="CQ53" s="50" t="str">
        <f t="shared" si="53"/>
        <v>X</v>
      </c>
      <c r="CR53" s="51" t="b">
        <f>IF(ISNUMBER(CO53), IF(CQ53=$H53,IF(CO53=$F53,IF(CP53=$G53,2,1),1),0))</f>
        <v>0</v>
      </c>
      <c r="CS53" s="48"/>
      <c r="CT53" s="49"/>
      <c r="CU53" s="50" t="str">
        <f t="shared" si="54"/>
        <v>X</v>
      </c>
      <c r="CV53" s="51" t="b">
        <f>IF(ISNUMBER(CS53), IF(CU53=$H53,IF(CS53=$F53,IF(CT53=$G53,2,1),1),0))</f>
        <v>0</v>
      </c>
      <c r="CW53" s="48"/>
      <c r="CX53" s="49"/>
      <c r="CY53" s="50" t="str">
        <f t="shared" si="55"/>
        <v>X</v>
      </c>
      <c r="CZ53" s="51" t="b">
        <f>IF(ISNUMBER(CW53), IF(CY53=$H53,IF(CW53=$F53,IF(CX53=$G53,2,1),1),0))</f>
        <v>0</v>
      </c>
      <c r="DA53" s="48"/>
      <c r="DB53" s="49"/>
      <c r="DC53" s="50" t="str">
        <f t="shared" si="56"/>
        <v>X</v>
      </c>
      <c r="DD53" s="51" t="b">
        <f>IF(ISNUMBER(DA53), IF(DC53=$H53,IF(DA53=$F53,IF(DB53=$G53,2,1),1),0))</f>
        <v>0</v>
      </c>
      <c r="DE53" s="48"/>
      <c r="DF53" s="49"/>
      <c r="DG53" s="50" t="str">
        <f t="shared" si="57"/>
        <v>X</v>
      </c>
      <c r="DH53" s="51" t="b">
        <f>IF(ISNUMBER(DE53), IF(DG53=$H53,IF(DE53=$F53,IF(DF53=$G53,2,1),1),0))</f>
        <v>0</v>
      </c>
      <c r="DI53" s="48"/>
      <c r="DJ53" s="49"/>
      <c r="DK53" s="50" t="str">
        <f t="shared" si="58"/>
        <v>X</v>
      </c>
      <c r="DL53" s="51" t="b">
        <f>IF(ISNUMBER(DI53), IF(DK53=$H53,IF(DI53=$F53,IF(DJ53=$G53,2,1),1),0))</f>
        <v>0</v>
      </c>
      <c r="DM53" s="48"/>
      <c r="DN53" s="49"/>
      <c r="DO53" s="50" t="str">
        <f t="shared" si="29"/>
        <v>X</v>
      </c>
      <c r="DP53" s="51" t="b">
        <f>IF(ISNUMBER(DM53), IF(DO53=$H53,IF(DM53=$F53,IF(DN53=$G53,2,1),1),0))</f>
        <v>0</v>
      </c>
    </row>
    <row r="54" spans="1:120" ht="13" customHeight="1" thickBot="1">
      <c r="A54" s="41"/>
      <c r="B54" s="42"/>
      <c r="C54" s="43"/>
      <c r="D54" s="44" t="s">
        <v>143</v>
      </c>
      <c r="E54" s="33">
        <f t="shared" si="30"/>
        <v>0</v>
      </c>
      <c r="F54" s="45"/>
      <c r="G54" s="46"/>
      <c r="H54" s="47" t="b">
        <f t="shared" si="31"/>
        <v>0</v>
      </c>
      <c r="I54" s="45"/>
      <c r="J54" s="46"/>
      <c r="K54" s="50" t="str">
        <f t="shared" si="32"/>
        <v>X</v>
      </c>
      <c r="L54" s="51" t="b">
        <f>IF(ISNUMBER(I54), IF(K54=$H54,IF(I54=$F54,IF(J54=$G54,2,1),1),0))</f>
        <v>0</v>
      </c>
      <c r="M54" s="45"/>
      <c r="N54" s="46"/>
      <c r="O54" s="50" t="str">
        <f t="shared" si="33"/>
        <v>X</v>
      </c>
      <c r="P54" s="51" t="b">
        <f>IF(ISNUMBER(M54), IF(O54=$H54,IF(M54=$F54,IF(N54=$G54,2,1),1),0))</f>
        <v>0</v>
      </c>
      <c r="Q54" s="45"/>
      <c r="R54" s="46"/>
      <c r="S54" s="50" t="str">
        <f t="shared" si="34"/>
        <v>X</v>
      </c>
      <c r="T54" s="51" t="b">
        <f>IF(ISNUMBER(Q54), IF(S54=$H54,IF(Q54=$F54,IF(R54=$G54,2,1),1),0))</f>
        <v>0</v>
      </c>
      <c r="U54" s="45"/>
      <c r="V54" s="46"/>
      <c r="W54" s="50" t="str">
        <f t="shared" si="35"/>
        <v>X</v>
      </c>
      <c r="X54" s="51" t="b">
        <f>IF(ISNUMBER(U54), IF(W54=$H54,IF(U54=$F54,IF(V54=$G54,2,1),1),0))</f>
        <v>0</v>
      </c>
      <c r="Y54" s="45"/>
      <c r="Z54" s="46"/>
      <c r="AA54" s="50" t="str">
        <f t="shared" si="36"/>
        <v>X</v>
      </c>
      <c r="AB54" s="51" t="b">
        <f>IF(ISNUMBER(Y54), IF(AA54=$H54,IF(Y54=$F54,IF(Z54=$G54,2,1),1),0))</f>
        <v>0</v>
      </c>
      <c r="AC54" s="45"/>
      <c r="AD54" s="46"/>
      <c r="AE54" s="50" t="str">
        <f t="shared" si="37"/>
        <v>X</v>
      </c>
      <c r="AF54" s="51" t="b">
        <f>IF(ISNUMBER(AC54), IF(AE54=$H54,IF(AC54=$F54,IF(AD54=$G54,2,1),1),0))</f>
        <v>0</v>
      </c>
      <c r="AG54" s="45"/>
      <c r="AH54" s="46"/>
      <c r="AI54" s="50" t="str">
        <f t="shared" si="38"/>
        <v>X</v>
      </c>
      <c r="AJ54" s="51" t="b">
        <f>IF(ISNUMBER(AG54), IF(AI54=$H54,IF(AG54=$F54,IF(AH54=$G54,2,1),1),0))</f>
        <v>0</v>
      </c>
      <c r="AK54" s="48"/>
      <c r="AL54" s="49"/>
      <c r="AM54" s="50" t="str">
        <f t="shared" si="39"/>
        <v>X</v>
      </c>
      <c r="AN54" s="51" t="b">
        <f>IF(ISNUMBER(AK54), IF(AM54=$H54,IF(AK54=$F54,IF(AL54=$G54,2,1),1),0))</f>
        <v>0</v>
      </c>
      <c r="AO54" s="45"/>
      <c r="AP54" s="46"/>
      <c r="AQ54" s="50" t="str">
        <f t="shared" si="40"/>
        <v>X</v>
      </c>
      <c r="AR54" s="51" t="b">
        <f>IF(ISNUMBER(AO54), IF(AQ54=$H54,IF(AO54=$F54,IF(AP54=$G54,2,1),1),0))</f>
        <v>0</v>
      </c>
      <c r="AS54" s="45"/>
      <c r="AT54" s="46"/>
      <c r="AU54" s="50" t="str">
        <f t="shared" si="41"/>
        <v>X</v>
      </c>
      <c r="AV54" s="51" t="b">
        <f>IF(ISNUMBER(AS54), IF(AU54=$H54,IF(AS54=$F54,IF(AT54=$G54,2,1),1),0))</f>
        <v>0</v>
      </c>
      <c r="AW54" s="45"/>
      <c r="AX54" s="46"/>
      <c r="AY54" s="50" t="str">
        <f t="shared" si="42"/>
        <v>X</v>
      </c>
      <c r="AZ54" s="51" t="b">
        <f>IF(ISNUMBER(AW54), IF(AY54=$H54,IF(AW54=$F54,IF(AX54=$G54,2,1),1),0))</f>
        <v>0</v>
      </c>
      <c r="BA54" s="48"/>
      <c r="BB54" s="49"/>
      <c r="BC54" s="50" t="str">
        <f t="shared" si="43"/>
        <v>X</v>
      </c>
      <c r="BD54" s="51" t="b">
        <f>IF(ISNUMBER(BA54), IF(BC54=$H54,IF(BA54=$F54,IF(BB54=$G54,2,1),1),0))</f>
        <v>0</v>
      </c>
      <c r="BE54" s="45"/>
      <c r="BF54" s="46"/>
      <c r="BG54" s="50" t="str">
        <f t="shared" si="44"/>
        <v>X</v>
      </c>
      <c r="BH54" s="51" t="b">
        <f>IF(ISNUMBER(BE54), IF(BG54=$H54,IF(BE54=$F54,IF(BF54=$G54,2,1),1),0))</f>
        <v>0</v>
      </c>
      <c r="BI54" s="48"/>
      <c r="BJ54" s="49"/>
      <c r="BK54" s="50" t="str">
        <f t="shared" si="45"/>
        <v>X</v>
      </c>
      <c r="BL54" s="51" t="b">
        <f>IF(ISNUMBER(BI54), IF(BK54=$H54,IF(BI54=$F54,IF(BJ54=$G54,2,1),1),0))</f>
        <v>0</v>
      </c>
      <c r="BM54" s="48"/>
      <c r="BN54" s="49"/>
      <c r="BO54" s="50" t="str">
        <f t="shared" si="46"/>
        <v>X</v>
      </c>
      <c r="BP54" s="51" t="b">
        <f>IF(ISNUMBER(BM54), IF(BO54=$H54,IF(BM54=$F54,IF(BN54=$G54,2,1),1),0))</f>
        <v>0</v>
      </c>
      <c r="BQ54" s="48"/>
      <c r="BR54" s="49"/>
      <c r="BS54" s="50" t="str">
        <f t="shared" si="47"/>
        <v>X</v>
      </c>
      <c r="BT54" s="51" t="b">
        <f>IF(ISNUMBER(BQ54), IF(BS54=$H54,IF(BQ54=$F54,IF(BR54=$G54,2,1),1),0))</f>
        <v>0</v>
      </c>
      <c r="BU54" s="45"/>
      <c r="BV54" s="46"/>
      <c r="BW54" s="50" t="str">
        <f t="shared" si="48"/>
        <v>X</v>
      </c>
      <c r="BX54" s="51" t="b">
        <f>IF(ISNUMBER(BU54), IF(BW54=$H54,IF(BU54=$F54,IF(BV54=$G54,2,1),1),0))</f>
        <v>0</v>
      </c>
      <c r="BY54" s="45"/>
      <c r="BZ54" s="46"/>
      <c r="CA54" s="50" t="str">
        <f t="shared" si="49"/>
        <v>X</v>
      </c>
      <c r="CB54" s="51" t="b">
        <f>IF(ISNUMBER(BY54), IF(CA54=$H54,IF(BY54=$F54,IF(BZ54=$G54,2,1),1),0))</f>
        <v>0</v>
      </c>
      <c r="CC54" s="48"/>
      <c r="CD54" s="49"/>
      <c r="CE54" s="50" t="str">
        <f t="shared" si="50"/>
        <v>X</v>
      </c>
      <c r="CF54" s="51" t="b">
        <f>IF(ISNUMBER(CC54), IF(CE54=$H54,IF(CC54=$F54,IF(CD54=$G54,2,1),1),0))</f>
        <v>0</v>
      </c>
      <c r="CG54" s="45"/>
      <c r="CH54" s="46"/>
      <c r="CI54" s="50" t="str">
        <f t="shared" si="51"/>
        <v>X</v>
      </c>
      <c r="CJ54" s="51" t="b">
        <f>IF(ISNUMBER(CG54), IF(CI54=$H54,IF(CG54=$F54,IF(CH54=$G54,2,1),1),0))</f>
        <v>0</v>
      </c>
      <c r="CK54" s="45"/>
      <c r="CL54" s="46"/>
      <c r="CM54" s="50" t="str">
        <f t="shared" si="52"/>
        <v>X</v>
      </c>
      <c r="CN54" s="51" t="b">
        <f>IF(ISNUMBER(CK54), IF(CM54=$H54,IF(CK54=$F54,IF(CL54=$G54,2,1),1),0))</f>
        <v>0</v>
      </c>
      <c r="CO54" s="48"/>
      <c r="CP54" s="49"/>
      <c r="CQ54" s="50" t="str">
        <f t="shared" si="53"/>
        <v>X</v>
      </c>
      <c r="CR54" s="51" t="b">
        <f>IF(ISNUMBER(CO54), IF(CQ54=$H54,IF(CO54=$F54,IF(CP54=$G54,2,1),1),0))</f>
        <v>0</v>
      </c>
      <c r="CS54" s="48"/>
      <c r="CT54" s="49"/>
      <c r="CU54" s="50" t="str">
        <f t="shared" si="54"/>
        <v>X</v>
      </c>
      <c r="CV54" s="51" t="b">
        <f>IF(ISNUMBER(CS54), IF(CU54=$H54,IF(CS54=$F54,IF(CT54=$G54,2,1),1),0))</f>
        <v>0</v>
      </c>
      <c r="CW54" s="48"/>
      <c r="CX54" s="49"/>
      <c r="CY54" s="50" t="str">
        <f t="shared" si="55"/>
        <v>X</v>
      </c>
      <c r="CZ54" s="51" t="b">
        <f>IF(ISNUMBER(CW54), IF(CY54=$H54,IF(CW54=$F54,IF(CX54=$G54,2,1),1),0))</f>
        <v>0</v>
      </c>
      <c r="DA54" s="48"/>
      <c r="DB54" s="49"/>
      <c r="DC54" s="50" t="str">
        <f t="shared" si="56"/>
        <v>X</v>
      </c>
      <c r="DD54" s="51" t="b">
        <f>IF(ISNUMBER(DA54), IF(DC54=$H54,IF(DA54=$F54,IF(DB54=$G54,2,1),1),0))</f>
        <v>0</v>
      </c>
      <c r="DE54" s="48"/>
      <c r="DF54" s="49"/>
      <c r="DG54" s="50" t="str">
        <f t="shared" si="57"/>
        <v>X</v>
      </c>
      <c r="DH54" s="51" t="b">
        <f>IF(ISNUMBER(DE54), IF(DG54=$H54,IF(DE54=$F54,IF(DF54=$G54,2,1),1),0))</f>
        <v>0</v>
      </c>
      <c r="DI54" s="48"/>
      <c r="DJ54" s="49"/>
      <c r="DK54" s="50" t="str">
        <f t="shared" si="58"/>
        <v>X</v>
      </c>
      <c r="DL54" s="51" t="b">
        <f>IF(ISNUMBER(DI54), IF(DK54=$H54,IF(DI54=$F54,IF(DJ54=$G54,2,1),1),0))</f>
        <v>0</v>
      </c>
      <c r="DM54" s="48"/>
      <c r="DN54" s="49"/>
      <c r="DO54" s="50" t="str">
        <f t="shared" si="29"/>
        <v>X</v>
      </c>
      <c r="DP54" s="51" t="b">
        <f>IF(ISNUMBER(DM54), IF(DO54=$H54,IF(DM54=$F54,IF(DN54=$G54,2,1),1),0))</f>
        <v>0</v>
      </c>
    </row>
    <row r="55" spans="1:120" s="25" customFormat="1" ht="13" customHeight="1" thickBot="1">
      <c r="A55" s="52"/>
      <c r="B55" s="53"/>
      <c r="C55" s="54"/>
      <c r="D55" s="55" t="s">
        <v>144</v>
      </c>
      <c r="E55" s="33">
        <f t="shared" si="30"/>
        <v>0</v>
      </c>
      <c r="F55" s="56"/>
      <c r="G55" s="56"/>
      <c r="H55" s="57" t="b">
        <f t="shared" si="31"/>
        <v>0</v>
      </c>
      <c r="I55" s="58">
        <f>SUM(I52:I54)</f>
        <v>0</v>
      </c>
      <c r="J55" s="59">
        <f>SUM(J52:J54)</f>
        <v>0</v>
      </c>
      <c r="K55" s="59" t="str">
        <f t="shared" si="32"/>
        <v>X</v>
      </c>
      <c r="L55" s="60">
        <f>IF($H55=K55,SUM(L52:L54)+1,SUM(L52:L54))</f>
        <v>0</v>
      </c>
      <c r="M55" s="58">
        <f>SUM(M52:M54)</f>
        <v>0</v>
      </c>
      <c r="N55" s="59">
        <f>SUM(N52:N54)</f>
        <v>0</v>
      </c>
      <c r="O55" s="59" t="str">
        <f t="shared" si="33"/>
        <v>X</v>
      </c>
      <c r="P55" s="60">
        <f>IF($H55=O55,SUM(P52:P54)+1,SUM(P52:P54))</f>
        <v>0</v>
      </c>
      <c r="Q55" s="58">
        <f>SUM(Q52:Q54)</f>
        <v>0</v>
      </c>
      <c r="R55" s="59">
        <f>SUM(R52:R54)</f>
        <v>0</v>
      </c>
      <c r="S55" s="59" t="str">
        <f t="shared" si="34"/>
        <v>X</v>
      </c>
      <c r="T55" s="60">
        <f>IF($H55=S55,SUM(T52:T54)+1,SUM(T52:T54))</f>
        <v>0</v>
      </c>
      <c r="U55" s="58">
        <f>SUM(U52:U54)</f>
        <v>0</v>
      </c>
      <c r="V55" s="59">
        <f>SUM(V52:V54)</f>
        <v>0</v>
      </c>
      <c r="W55" s="59" t="str">
        <f t="shared" si="35"/>
        <v>X</v>
      </c>
      <c r="X55" s="60">
        <f>IF($H55=W55,SUM(X52:X54)+1,SUM(X52:X54))</f>
        <v>0</v>
      </c>
      <c r="Y55" s="58">
        <f>SUM(Y52:Y54)</f>
        <v>0</v>
      </c>
      <c r="Z55" s="59">
        <f>SUM(Z52:Z54)</f>
        <v>0</v>
      </c>
      <c r="AA55" s="59" t="str">
        <f t="shared" si="36"/>
        <v>X</v>
      </c>
      <c r="AB55" s="60">
        <f>IF($H55=AA55,SUM(AB52:AB54)+1,SUM(AB52:AB54))</f>
        <v>0</v>
      </c>
      <c r="AC55" s="58">
        <f>SUM(AC52:AC54)</f>
        <v>0</v>
      </c>
      <c r="AD55" s="59">
        <f>SUM(AD52:AD54)</f>
        <v>0</v>
      </c>
      <c r="AE55" s="59" t="str">
        <f t="shared" si="37"/>
        <v>X</v>
      </c>
      <c r="AF55" s="60">
        <f>IF($H55=AE55,SUM(AF52:AF54)+1,SUM(AF52:AF54))</f>
        <v>0</v>
      </c>
      <c r="AG55" s="58">
        <f>SUM(AG52:AG54)</f>
        <v>0</v>
      </c>
      <c r="AH55" s="59">
        <f>SUM(AH52:AH54)</f>
        <v>0</v>
      </c>
      <c r="AI55" s="59" t="str">
        <f t="shared" si="38"/>
        <v>X</v>
      </c>
      <c r="AJ55" s="60">
        <f>IF($H55=AI55,SUM(AJ52:AJ54)+1,SUM(AJ52:AJ54))</f>
        <v>0</v>
      </c>
      <c r="AK55" s="58">
        <f>SUM(AK52:AK54)</f>
        <v>0</v>
      </c>
      <c r="AL55" s="59">
        <f>SUM(AL52:AL54)</f>
        <v>0</v>
      </c>
      <c r="AM55" s="59" t="str">
        <f t="shared" si="39"/>
        <v>X</v>
      </c>
      <c r="AN55" s="60">
        <f>IF($H55=AM55,SUM(AN52:AN54)+1,SUM(AN52:AN54))</f>
        <v>0</v>
      </c>
      <c r="AO55" s="58">
        <f>SUM(AO52:AO54)</f>
        <v>0</v>
      </c>
      <c r="AP55" s="59">
        <f>SUM(AP52:AP54)</f>
        <v>0</v>
      </c>
      <c r="AQ55" s="59" t="str">
        <f t="shared" si="40"/>
        <v>X</v>
      </c>
      <c r="AR55" s="60">
        <f>IF($H55=AQ55,SUM(AR52:AR54)+1,SUM(AR52:AR54))</f>
        <v>0</v>
      </c>
      <c r="AS55" s="58">
        <f>SUM(AS52:AS54)</f>
        <v>0</v>
      </c>
      <c r="AT55" s="59">
        <f>SUM(AT52:AT54)</f>
        <v>0</v>
      </c>
      <c r="AU55" s="59" t="str">
        <f t="shared" si="41"/>
        <v>X</v>
      </c>
      <c r="AV55" s="60">
        <f>IF($H55=AU55,SUM(AV52:AV54)+1,SUM(AV52:AV54))</f>
        <v>0</v>
      </c>
      <c r="AW55" s="58">
        <f>SUM(AW52:AW54)</f>
        <v>0</v>
      </c>
      <c r="AX55" s="59">
        <f>SUM(AX52:AX54)</f>
        <v>0</v>
      </c>
      <c r="AY55" s="59" t="str">
        <f t="shared" si="42"/>
        <v>X</v>
      </c>
      <c r="AZ55" s="60">
        <f>IF($H55=AY55,SUM(AZ52:AZ54)+1,SUM(AZ52:AZ54))</f>
        <v>0</v>
      </c>
      <c r="BA55" s="58">
        <f>SUM(BA52:BA54)</f>
        <v>0</v>
      </c>
      <c r="BB55" s="59">
        <f>SUM(BB52:BB54)</f>
        <v>0</v>
      </c>
      <c r="BC55" s="59" t="str">
        <f t="shared" si="43"/>
        <v>X</v>
      </c>
      <c r="BD55" s="60">
        <f>IF($H55=BC55,SUM(BD52:BD54)+1,SUM(BD52:BD54))</f>
        <v>0</v>
      </c>
      <c r="BE55" s="58">
        <f>SUM(BE52:BE54)</f>
        <v>0</v>
      </c>
      <c r="BF55" s="59">
        <f>SUM(BF52:BF54)</f>
        <v>0</v>
      </c>
      <c r="BG55" s="59" t="str">
        <f t="shared" si="44"/>
        <v>X</v>
      </c>
      <c r="BH55" s="60">
        <f>IF($H55=BG55,SUM(BH52:BH54)+1,SUM(BH52:BH54))</f>
        <v>0</v>
      </c>
      <c r="BI55" s="58">
        <f>SUM(BI52:BI54)</f>
        <v>0</v>
      </c>
      <c r="BJ55" s="59">
        <f>SUM(BJ52:BJ54)</f>
        <v>0</v>
      </c>
      <c r="BK55" s="59" t="str">
        <f t="shared" si="45"/>
        <v>X</v>
      </c>
      <c r="BL55" s="60">
        <f>IF($H55=BK55,SUM(BL52:BL54)+1,SUM(BL52:BL54))</f>
        <v>0</v>
      </c>
      <c r="BM55" s="58">
        <f>SUM(BM52:BM54)</f>
        <v>0</v>
      </c>
      <c r="BN55" s="59">
        <f>SUM(BN52:BN54)</f>
        <v>0</v>
      </c>
      <c r="BO55" s="59" t="str">
        <f t="shared" si="46"/>
        <v>X</v>
      </c>
      <c r="BP55" s="60">
        <f>IF($H55=BO55,SUM(BP52:BP54)+1,SUM(BP52:BP54))</f>
        <v>0</v>
      </c>
      <c r="BQ55" s="58">
        <f>SUM(BQ52:BQ54)</f>
        <v>0</v>
      </c>
      <c r="BR55" s="59">
        <f>SUM(BR52:BR54)</f>
        <v>0</v>
      </c>
      <c r="BS55" s="59" t="str">
        <f t="shared" si="47"/>
        <v>X</v>
      </c>
      <c r="BT55" s="60">
        <f>IF($H55=BS55,SUM(BT52:BT54)+1,SUM(BT52:BT54))</f>
        <v>0</v>
      </c>
      <c r="BU55" s="58">
        <f>SUM(BU52:BU54)</f>
        <v>0</v>
      </c>
      <c r="BV55" s="59">
        <f>SUM(BV52:BV54)</f>
        <v>0</v>
      </c>
      <c r="BW55" s="59" t="str">
        <f t="shared" si="48"/>
        <v>X</v>
      </c>
      <c r="BX55" s="60">
        <f>IF($H55=BW55,SUM(BX52:BX54)+1,SUM(BX52:BX54))</f>
        <v>0</v>
      </c>
      <c r="BY55" s="58">
        <f>SUM(BY52:BY54)</f>
        <v>0</v>
      </c>
      <c r="BZ55" s="59">
        <f>SUM(BZ52:BZ54)</f>
        <v>0</v>
      </c>
      <c r="CA55" s="59" t="str">
        <f t="shared" si="49"/>
        <v>X</v>
      </c>
      <c r="CB55" s="60">
        <f>IF($H55=CA55,SUM(CB52:CB54)+1,SUM(CB52:CB54))</f>
        <v>0</v>
      </c>
      <c r="CC55" s="58">
        <f>SUM(CC52:CC54)</f>
        <v>0</v>
      </c>
      <c r="CD55" s="59">
        <f>SUM(CD52:CD54)</f>
        <v>0</v>
      </c>
      <c r="CE55" s="59" t="str">
        <f t="shared" si="50"/>
        <v>X</v>
      </c>
      <c r="CF55" s="60">
        <f>IF($H55=CE55,SUM(CF52:CF54)+1,SUM(CF52:CF54))</f>
        <v>0</v>
      </c>
      <c r="CG55" s="58">
        <f>SUM(CG52:CG54)</f>
        <v>0</v>
      </c>
      <c r="CH55" s="59">
        <f>SUM(CH52:CH54)</f>
        <v>0</v>
      </c>
      <c r="CI55" s="59" t="str">
        <f t="shared" si="51"/>
        <v>X</v>
      </c>
      <c r="CJ55" s="60">
        <f>IF($H55=CI55,SUM(CJ52:CJ54)+1,SUM(CJ52:CJ54))</f>
        <v>0</v>
      </c>
      <c r="CK55" s="58">
        <f>SUM(CK52:CK54)</f>
        <v>0</v>
      </c>
      <c r="CL55" s="59">
        <f>SUM(CL52:CL54)</f>
        <v>0</v>
      </c>
      <c r="CM55" s="59" t="str">
        <f t="shared" si="52"/>
        <v>X</v>
      </c>
      <c r="CN55" s="60">
        <f>IF($H55=CM55,SUM(CN52:CN54)+1,SUM(CN52:CN54))</f>
        <v>0</v>
      </c>
      <c r="CO55" s="58">
        <f>SUM(CO52:CO54)</f>
        <v>0</v>
      </c>
      <c r="CP55" s="59">
        <f>SUM(CP52:CP54)</f>
        <v>0</v>
      </c>
      <c r="CQ55" s="59" t="str">
        <f t="shared" si="53"/>
        <v>X</v>
      </c>
      <c r="CR55" s="60">
        <f>IF($H55=CQ55,SUM(CR52:CR54)+1,SUM(CR52:CR54))</f>
        <v>0</v>
      </c>
      <c r="CS55" s="58">
        <f>SUM(CS52:CS54)</f>
        <v>0</v>
      </c>
      <c r="CT55" s="59">
        <f>SUM(CT52:CT54)</f>
        <v>0</v>
      </c>
      <c r="CU55" s="59" t="str">
        <f t="shared" si="54"/>
        <v>X</v>
      </c>
      <c r="CV55" s="60">
        <f>IF($H55=CU55,SUM(CV52:CV54)+1,SUM(CV52:CV54))</f>
        <v>0</v>
      </c>
      <c r="CW55" s="58">
        <f>SUM(CW52:CW54)</f>
        <v>0</v>
      </c>
      <c r="CX55" s="59">
        <f>SUM(CX52:CX54)</f>
        <v>0</v>
      </c>
      <c r="CY55" s="59" t="str">
        <f t="shared" si="55"/>
        <v>X</v>
      </c>
      <c r="CZ55" s="60">
        <f>IF($H55=CY55,SUM(CZ52:CZ54)+1,SUM(CZ52:CZ54))</f>
        <v>0</v>
      </c>
      <c r="DA55" s="58">
        <f>SUM(DA52:DA54)</f>
        <v>0</v>
      </c>
      <c r="DB55" s="59">
        <f>SUM(DB52:DB54)</f>
        <v>0</v>
      </c>
      <c r="DC55" s="59" t="str">
        <f t="shared" si="56"/>
        <v>X</v>
      </c>
      <c r="DD55" s="60">
        <f>IF($H55=DC55,SUM(DD52:DD54)+1,SUM(DD52:DD54))</f>
        <v>0</v>
      </c>
      <c r="DE55" s="58">
        <f>SUM(DE52:DE54)</f>
        <v>0</v>
      </c>
      <c r="DF55" s="59">
        <f>SUM(DF52:DF54)</f>
        <v>0</v>
      </c>
      <c r="DG55" s="59" t="str">
        <f t="shared" si="57"/>
        <v>X</v>
      </c>
      <c r="DH55" s="60">
        <f>IF($H55=DG55,SUM(DH52:DH54)+1,SUM(DH52:DH54))</f>
        <v>0</v>
      </c>
      <c r="DI55" s="58">
        <f>SUM(DI52:DI54)</f>
        <v>0</v>
      </c>
      <c r="DJ55" s="59">
        <f>SUM(DJ52:DJ54)</f>
        <v>0</v>
      </c>
      <c r="DK55" s="59" t="str">
        <f t="shared" si="58"/>
        <v>X</v>
      </c>
      <c r="DL55" s="60">
        <f>IF($H55=DK55,SUM(DL52:DL54)+1,SUM(DL52:DL54))</f>
        <v>0</v>
      </c>
      <c r="DM55" s="58">
        <f>SUM(DM52:DM54)</f>
        <v>0</v>
      </c>
      <c r="DN55" s="59">
        <f>SUM(DN52:DN54)</f>
        <v>0</v>
      </c>
      <c r="DO55" s="59" t="str">
        <f t="shared" si="29"/>
        <v>X</v>
      </c>
      <c r="DP55" s="60">
        <f>IF($H55=DO55,SUM(DP52:DP54)+1,SUM(DP52:DP54))</f>
        <v>0</v>
      </c>
    </row>
    <row r="56" spans="1:120" ht="13" customHeight="1" thickBot="1">
      <c r="A56" s="113">
        <f>A52+1</f>
        <v>43447</v>
      </c>
      <c r="B56" s="30" t="s">
        <v>146</v>
      </c>
      <c r="C56" s="31"/>
      <c r="D56" s="32" t="s">
        <v>141</v>
      </c>
      <c r="E56" s="33">
        <f t="shared" si="30"/>
        <v>0</v>
      </c>
      <c r="F56" s="34"/>
      <c r="G56" s="35"/>
      <c r="H56" s="36" t="b">
        <f t="shared" si="31"/>
        <v>0</v>
      </c>
      <c r="I56" s="37"/>
      <c r="J56" s="38"/>
      <c r="K56" s="39" t="str">
        <f t="shared" si="32"/>
        <v>X</v>
      </c>
      <c r="L56" s="40" t="b">
        <f>IF(ISNUMBER(I56), IF(K56=$H56,IF(I56=$F56,IF(J56=$G56,IF($F56-$G56&gt;=3,6,IF($G56-$F56&gt;=3,6,IF($F56+$G56&gt;=4,6,5))),3),3),0))</f>
        <v>0</v>
      </c>
      <c r="M56" s="34"/>
      <c r="N56" s="35"/>
      <c r="O56" s="39" t="str">
        <f t="shared" si="33"/>
        <v>X</v>
      </c>
      <c r="P56" s="40" t="b">
        <f>IF(ISNUMBER(M56), IF(O56=$H56,IF(M56=$F56,IF(N56=$G56,IF($F56-$G56&gt;=3,6,IF($G56-$F56&gt;=3,6,IF($F56+$G56&gt;=4,6,5))),3),3),0))</f>
        <v>0</v>
      </c>
      <c r="Q56" s="34"/>
      <c r="R56" s="35"/>
      <c r="S56" s="39" t="str">
        <f t="shared" si="34"/>
        <v>X</v>
      </c>
      <c r="T56" s="40" t="b">
        <f>IF(ISNUMBER(Q56), IF(S56=$H56,IF(Q56=$F56,IF(R56=$G56,IF($F56-$G56&gt;=3,6,IF($G56-$F56&gt;=3,6,IF($F56+$G56&gt;=4,6,5))),3),3),0))</f>
        <v>0</v>
      </c>
      <c r="U56" s="34"/>
      <c r="V56" s="35"/>
      <c r="W56" s="39" t="str">
        <f t="shared" si="35"/>
        <v>X</v>
      </c>
      <c r="X56" s="40" t="b">
        <f>IF(ISNUMBER(U56), IF(W56=$H56,IF(U56=$F56,IF(V56=$G56,IF($F56-$G56&gt;=3,6,IF($G56-$F56&gt;=3,6,IF($F56+$G56&gt;=4,6,5))),3),3),0))</f>
        <v>0</v>
      </c>
      <c r="Y56" s="34"/>
      <c r="Z56" s="35"/>
      <c r="AA56" s="39" t="str">
        <f t="shared" si="36"/>
        <v>X</v>
      </c>
      <c r="AB56" s="40" t="b">
        <f>IF(ISNUMBER(Y56), IF(AA56=$H56,IF(Y56=$F56,IF(Z56=$G56,IF($F56-$G56&gt;=3,6,IF($G56-$F56&gt;=3,6,IF($F56+$G56&gt;=4,6,5))),3),3),0))</f>
        <v>0</v>
      </c>
      <c r="AC56" s="34"/>
      <c r="AD56" s="35"/>
      <c r="AE56" s="39" t="str">
        <f t="shared" si="37"/>
        <v>X</v>
      </c>
      <c r="AF56" s="40" t="b">
        <f>IF(ISNUMBER(AC56), IF(AE56=$H56,IF(AC56=$F56,IF(AD56=$G56,IF($F56-$G56&gt;=3,6,IF($G56-$F56&gt;=3,6,IF($F56+$G56&gt;=4,6,5))),3),3),0))</f>
        <v>0</v>
      </c>
      <c r="AG56" s="34"/>
      <c r="AH56" s="35"/>
      <c r="AI56" s="39" t="str">
        <f t="shared" si="38"/>
        <v>X</v>
      </c>
      <c r="AJ56" s="40" t="b">
        <f>IF(ISNUMBER(AG56), IF(AI56=$H56,IF(AG56=$F56,IF(AH56=$G56,IF($F56-$G56&gt;=3,6,IF($G56-$F56&gt;=3,6,IF($F56+$G56&gt;=4,6,5))),3),3),0))</f>
        <v>0</v>
      </c>
      <c r="AK56" s="37"/>
      <c r="AL56" s="38"/>
      <c r="AM56" s="39" t="str">
        <f t="shared" si="39"/>
        <v>X</v>
      </c>
      <c r="AN56" s="40" t="b">
        <f>IF(ISNUMBER(AK56), IF(AM56=$H56,IF(AK56=$F56,IF(AL56=$G56,IF($F56-$G56&gt;=3,6,IF($G56-$F56&gt;=3,6,IF($F56+$G56&gt;=4,6,5))),3),3),0))</f>
        <v>0</v>
      </c>
      <c r="AO56" s="34"/>
      <c r="AP56" s="35"/>
      <c r="AQ56" s="39" t="str">
        <f t="shared" si="40"/>
        <v>X</v>
      </c>
      <c r="AR56" s="40" t="b">
        <f>IF(ISNUMBER(AO56), IF(AQ56=$H56,IF(AO56=$F56,IF(AP56=$G56,IF($F56-$G56&gt;=3,6,IF($G56-$F56&gt;=3,6,IF($F56+$G56&gt;=4,6,5))),3),3),0))</f>
        <v>0</v>
      </c>
      <c r="AS56" s="34"/>
      <c r="AT56" s="35"/>
      <c r="AU56" s="39" t="str">
        <f t="shared" si="41"/>
        <v>X</v>
      </c>
      <c r="AV56" s="40" t="b">
        <f>IF(ISNUMBER(AS56), IF(AU56=$H56,IF(AS56=$F56,IF(AT56=$G56,IF($F56-$G56&gt;=3,6,IF($G56-$F56&gt;=3,6,IF($F56+$G56&gt;=4,6,5))),3),3),0))</f>
        <v>0</v>
      </c>
      <c r="AW56" s="34"/>
      <c r="AX56" s="35"/>
      <c r="AY56" s="39" t="str">
        <f t="shared" si="42"/>
        <v>X</v>
      </c>
      <c r="AZ56" s="40" t="b">
        <f>IF(ISNUMBER(AW56), IF(AY56=$H56,IF(AW56=$F56,IF(AX56=$G56,IF($F56-$G56&gt;=3,6,IF($G56-$F56&gt;=3,6,IF($F56+$G56&gt;=4,6,5))),3),3),0))</f>
        <v>0</v>
      </c>
      <c r="BA56" s="37"/>
      <c r="BB56" s="38"/>
      <c r="BC56" s="39" t="str">
        <f t="shared" si="43"/>
        <v>X</v>
      </c>
      <c r="BD56" s="40" t="b">
        <f>IF(ISNUMBER(BA56), IF(BC56=$H56,IF(BA56=$F56,IF(BB56=$G56,IF($F56-$G56&gt;=3,6,IF($G56-$F56&gt;=3,6,IF($F56+$G56&gt;=4,6,5))),3),3),0))</f>
        <v>0</v>
      </c>
      <c r="BE56" s="34"/>
      <c r="BF56" s="35"/>
      <c r="BG56" s="39" t="str">
        <f t="shared" si="44"/>
        <v>X</v>
      </c>
      <c r="BH56" s="40" t="b">
        <f>IF(ISNUMBER(BE56), IF(BG56=$H56,IF(BE56=$F56,IF(BF56=$G56,IF($F56-$G56&gt;=3,6,IF($G56-$F56&gt;=3,6,IF($F56+$G56&gt;=4,6,5))),3),3),0))</f>
        <v>0</v>
      </c>
      <c r="BI56" s="37"/>
      <c r="BJ56" s="38"/>
      <c r="BK56" s="39" t="str">
        <f t="shared" si="45"/>
        <v>X</v>
      </c>
      <c r="BL56" s="40" t="b">
        <f>IF(ISNUMBER(BI56), IF(BK56=$H56,IF(BI56=$F56,IF(BJ56=$G56,IF($F56-$G56&gt;=3,6,IF($G56-$F56&gt;=3,6,IF($F56+$G56&gt;=4,6,5))),3),3),0))</f>
        <v>0</v>
      </c>
      <c r="BM56" s="37"/>
      <c r="BN56" s="38"/>
      <c r="BO56" s="39" t="str">
        <f t="shared" si="46"/>
        <v>X</v>
      </c>
      <c r="BP56" s="40" t="b">
        <f>IF(ISNUMBER(BM56), IF(BO56=$H56,IF(BM56=$F56,IF(BN56=$G56,IF($F56-$G56&gt;=3,6,IF($G56-$F56&gt;=3,6,IF($F56+$G56&gt;=4,6,5))),3),3),0))</f>
        <v>0</v>
      </c>
      <c r="BQ56" s="37"/>
      <c r="BR56" s="38"/>
      <c r="BS56" s="39" t="str">
        <f t="shared" si="47"/>
        <v>X</v>
      </c>
      <c r="BT56" s="40" t="b">
        <f>IF(ISNUMBER(BQ56), IF(BS56=$H56,IF(BQ56=$F56,IF(BR56=$G56,IF($F56-$G56&gt;=3,6,IF($G56-$F56&gt;=3,6,IF($F56+$G56&gt;=4,6,5))),3),3),0))</f>
        <v>0</v>
      </c>
      <c r="BU56" s="34"/>
      <c r="BV56" s="35"/>
      <c r="BW56" s="39" t="str">
        <f t="shared" si="48"/>
        <v>X</v>
      </c>
      <c r="BX56" s="40" t="b">
        <f>IF(ISNUMBER(BU56), IF(BW56=$H56,IF(BU56=$F56,IF(BV56=$G56,IF($F56-$G56&gt;=3,6,IF($G56-$F56&gt;=3,6,IF($F56+$G56&gt;=4,6,5))),3),3),0))</f>
        <v>0</v>
      </c>
      <c r="BY56" s="34"/>
      <c r="BZ56" s="35"/>
      <c r="CA56" s="39" t="str">
        <f t="shared" si="49"/>
        <v>X</v>
      </c>
      <c r="CB56" s="40" t="b">
        <f>IF(ISNUMBER(BY56), IF(CA56=$H56,IF(BY56=$F56,IF(BZ56=$G56,IF($F56-$G56&gt;=3,6,IF($G56-$F56&gt;=3,6,IF($F56+$G56&gt;=4,6,5))),3),3),0))</f>
        <v>0</v>
      </c>
      <c r="CC56" s="37"/>
      <c r="CD56" s="38"/>
      <c r="CE56" s="39" t="str">
        <f t="shared" si="50"/>
        <v>X</v>
      </c>
      <c r="CF56" s="40" t="b">
        <f>IF(ISNUMBER(CC56), IF(CE56=$H56,IF(CC56=$F56,IF(CD56=$G56,IF($F56-$G56&gt;=3,6,IF($G56-$F56&gt;=3,6,IF($F56+$G56&gt;=4,6,5))),3),3),0))</f>
        <v>0</v>
      </c>
      <c r="CG56" s="34"/>
      <c r="CH56" s="35"/>
      <c r="CI56" s="39" t="str">
        <f t="shared" si="51"/>
        <v>X</v>
      </c>
      <c r="CJ56" s="40" t="b">
        <f>IF(ISNUMBER(CG56), IF(CI56=$H56,IF(CG56=$F56,IF(CH56=$G56,IF($F56-$G56&gt;=3,6,IF($G56-$F56&gt;=3,6,IF($F56+$G56&gt;=4,6,5))),3),3),0))</f>
        <v>0</v>
      </c>
      <c r="CK56" s="34"/>
      <c r="CL56" s="35"/>
      <c r="CM56" s="39" t="str">
        <f t="shared" si="52"/>
        <v>X</v>
      </c>
      <c r="CN56" s="40" t="b">
        <f>IF(ISNUMBER(CK56), IF(CM56=$H56,IF(CK56=$F56,IF(CL56=$G56,IF($F56-$G56&gt;=3,6,IF($G56-$F56&gt;=3,6,IF($F56+$G56&gt;=4,6,5))),3),3),0))</f>
        <v>0</v>
      </c>
      <c r="CO56" s="37"/>
      <c r="CP56" s="38"/>
      <c r="CQ56" s="39" t="str">
        <f t="shared" si="53"/>
        <v>X</v>
      </c>
      <c r="CR56" s="40" t="b">
        <f>IF(ISNUMBER(CO56), IF(CQ56=$H56,IF(CO56=$F56,IF(CP56=$G56,IF($F56-$G56&gt;=3,6,IF($G56-$F56&gt;=3,6,IF($F56+$G56&gt;=4,6,5))),3),3),0))</f>
        <v>0</v>
      </c>
      <c r="CS56" s="37"/>
      <c r="CT56" s="38"/>
      <c r="CU56" s="39" t="str">
        <f t="shared" si="54"/>
        <v>X</v>
      </c>
      <c r="CV56" s="40" t="b">
        <f>IF(ISNUMBER(CS56), IF(CU56=$H56,IF(CS56=$F56,IF(CT56=$G56,IF($F56-$G56&gt;=3,6,IF($G56-$F56&gt;=3,6,IF($F56+$G56&gt;=4,6,5))),3),3),0))</f>
        <v>0</v>
      </c>
      <c r="CW56" s="37"/>
      <c r="CX56" s="38"/>
      <c r="CY56" s="39" t="str">
        <f t="shared" si="55"/>
        <v>X</v>
      </c>
      <c r="CZ56" s="40" t="b">
        <f>IF(ISNUMBER(CW56), IF(CY56=$H56,IF(CW56=$F56,IF(CX56=$G56,IF($F56-$G56&gt;=3,6,IF($G56-$F56&gt;=3,6,IF($F56+$G56&gt;=4,6,5))),3),3),0))</f>
        <v>0</v>
      </c>
      <c r="DA56" s="37"/>
      <c r="DB56" s="38"/>
      <c r="DC56" s="39" t="str">
        <f t="shared" si="56"/>
        <v>X</v>
      </c>
      <c r="DD56" s="40" t="b">
        <f>IF(ISNUMBER(DA56), IF(DC56=$H56,IF(DA56=$F56,IF(DB56=$G56,IF($F56-$G56&gt;=3,6,IF($G56-$F56&gt;=3,6,IF($F56+$G56&gt;=4,6,5))),3),3),0))</f>
        <v>0</v>
      </c>
      <c r="DE56" s="37"/>
      <c r="DF56" s="38"/>
      <c r="DG56" s="39" t="str">
        <f t="shared" si="57"/>
        <v>X</v>
      </c>
      <c r="DH56" s="40" t="b">
        <f>IF(ISNUMBER(DE56), IF(DG56=$H56,IF(DE56=$F56,IF(DF56=$G56,IF($F56-$G56&gt;=3,6,IF($G56-$F56&gt;=3,6,IF($F56+$G56&gt;=4,6,5))),3),3),0))</f>
        <v>0</v>
      </c>
      <c r="DI56" s="37"/>
      <c r="DJ56" s="38"/>
      <c r="DK56" s="39" t="str">
        <f t="shared" si="58"/>
        <v>X</v>
      </c>
      <c r="DL56" s="40" t="b">
        <f>IF(ISNUMBER(DI56), IF(DK56=$H56,IF(DI56=$F56,IF(DJ56=$G56,IF($F56-$G56&gt;=3,6,IF($G56-$F56&gt;=3,6,IF($F56+$G56&gt;=4,6,5))),3),3),0))</f>
        <v>0</v>
      </c>
      <c r="DM56" s="37"/>
      <c r="DN56" s="38"/>
      <c r="DO56" s="39" t="str">
        <f t="shared" si="29"/>
        <v>X</v>
      </c>
      <c r="DP56" s="40" t="b">
        <f>IF(ISNUMBER(DM56), IF(DO56=$H56,IF(DM56=$F56,IF(DN56=$G56,IF($F56-$G56&gt;=3,6,IF($G56-$F56&gt;=3,6,IF($F56+$G56&gt;=4,6,5))),3),3),0))</f>
        <v>0</v>
      </c>
    </row>
    <row r="57" spans="1:120" ht="13" customHeight="1" thickBot="1">
      <c r="A57" s="41"/>
      <c r="B57" s="42"/>
      <c r="C57" s="43"/>
      <c r="D57" s="44" t="s">
        <v>142</v>
      </c>
      <c r="E57" s="33">
        <f t="shared" si="30"/>
        <v>0</v>
      </c>
      <c r="F57" s="45"/>
      <c r="G57" s="46"/>
      <c r="H57" s="47" t="b">
        <f t="shared" si="31"/>
        <v>0</v>
      </c>
      <c r="I57" s="48"/>
      <c r="J57" s="49"/>
      <c r="K57" s="50" t="str">
        <f t="shared" si="32"/>
        <v>X</v>
      </c>
      <c r="L57" s="51" t="b">
        <f>IF(ISNUMBER(I57), IF(K57=$H57,IF(I57=$F57,IF(J57=$G57,2,1),1),0))</f>
        <v>0</v>
      </c>
      <c r="M57" s="45"/>
      <c r="N57" s="46"/>
      <c r="O57" s="50" t="str">
        <f t="shared" si="33"/>
        <v>X</v>
      </c>
      <c r="P57" s="51" t="b">
        <f>IF(ISNUMBER(M57), IF(O57=$H57,IF(M57=$F57,IF(N57=$G57,2,1),1),0))</f>
        <v>0</v>
      </c>
      <c r="Q57" s="45"/>
      <c r="R57" s="46"/>
      <c r="S57" s="50" t="str">
        <f t="shared" si="34"/>
        <v>X</v>
      </c>
      <c r="T57" s="51" t="b">
        <f>IF(ISNUMBER(Q57), IF(S57=$H57,IF(Q57=$F57,IF(R57=$G57,2,1),1),0))</f>
        <v>0</v>
      </c>
      <c r="U57" s="45"/>
      <c r="V57" s="46"/>
      <c r="W57" s="50" t="str">
        <f t="shared" si="35"/>
        <v>X</v>
      </c>
      <c r="X57" s="51" t="b">
        <f>IF(ISNUMBER(U57), IF(W57=$H57,IF(U57=$F57,IF(V57=$G57,2,1),1),0))</f>
        <v>0</v>
      </c>
      <c r="Y57" s="45"/>
      <c r="Z57" s="46"/>
      <c r="AA57" s="50" t="str">
        <f t="shared" si="36"/>
        <v>X</v>
      </c>
      <c r="AB57" s="51" t="b">
        <f>IF(ISNUMBER(Y57), IF(AA57=$H57,IF(Y57=$F57,IF(Z57=$G57,2,1),1),0))</f>
        <v>0</v>
      </c>
      <c r="AC57" s="45"/>
      <c r="AD57" s="46"/>
      <c r="AE57" s="50" t="str">
        <f t="shared" si="37"/>
        <v>X</v>
      </c>
      <c r="AF57" s="51" t="b">
        <f>IF(ISNUMBER(AC57), IF(AE57=$H57,IF(AC57=$F57,IF(AD57=$G57,2,1),1),0))</f>
        <v>0</v>
      </c>
      <c r="AG57" s="45"/>
      <c r="AH57" s="46"/>
      <c r="AI57" s="50" t="str">
        <f t="shared" si="38"/>
        <v>X</v>
      </c>
      <c r="AJ57" s="51" t="b">
        <f>IF(ISNUMBER(AG57), IF(AI57=$H57,IF(AG57=$F57,IF(AH57=$G57,2,1),1),0))</f>
        <v>0</v>
      </c>
      <c r="AK57" s="48"/>
      <c r="AL57" s="49"/>
      <c r="AM57" s="50" t="str">
        <f t="shared" si="39"/>
        <v>X</v>
      </c>
      <c r="AN57" s="51" t="b">
        <f>IF(ISNUMBER(AK57), IF(AM57=$H57,IF(AK57=$F57,IF(AL57=$G57,2,1),1),0))</f>
        <v>0</v>
      </c>
      <c r="AO57" s="45"/>
      <c r="AP57" s="46"/>
      <c r="AQ57" s="50" t="str">
        <f t="shared" si="40"/>
        <v>X</v>
      </c>
      <c r="AR57" s="51" t="b">
        <f>IF(ISNUMBER(AO57), IF(AQ57=$H57,IF(AO57=$F57,IF(AP57=$G57,2,1),1),0))</f>
        <v>0</v>
      </c>
      <c r="AS57" s="45"/>
      <c r="AT57" s="46"/>
      <c r="AU57" s="50" t="str">
        <f t="shared" si="41"/>
        <v>X</v>
      </c>
      <c r="AV57" s="51" t="b">
        <f>IF(ISNUMBER(AS57), IF(AU57=$H57,IF(AS57=$F57,IF(AT57=$G57,2,1),1),0))</f>
        <v>0</v>
      </c>
      <c r="AW57" s="45"/>
      <c r="AX57" s="46"/>
      <c r="AY57" s="50" t="str">
        <f t="shared" si="42"/>
        <v>X</v>
      </c>
      <c r="AZ57" s="51" t="b">
        <f>IF(ISNUMBER(AW57), IF(AY57=$H57,IF(AW57=$F57,IF(AX57=$G57,2,1),1),0))</f>
        <v>0</v>
      </c>
      <c r="BA57" s="48"/>
      <c r="BB57" s="49"/>
      <c r="BC57" s="50" t="str">
        <f t="shared" si="43"/>
        <v>X</v>
      </c>
      <c r="BD57" s="51" t="b">
        <f>IF(ISNUMBER(BA57), IF(BC57=$H57,IF(BA57=$F57,IF(BB57=$G57,2,1),1),0))</f>
        <v>0</v>
      </c>
      <c r="BE57" s="45"/>
      <c r="BF57" s="46"/>
      <c r="BG57" s="50" t="str">
        <f t="shared" si="44"/>
        <v>X</v>
      </c>
      <c r="BH57" s="51" t="b">
        <f>IF(ISNUMBER(BE57), IF(BG57=$H57,IF(BE57=$F57,IF(BF57=$G57,2,1),1),0))</f>
        <v>0</v>
      </c>
      <c r="BI57" s="48"/>
      <c r="BJ57" s="49"/>
      <c r="BK57" s="50" t="str">
        <f t="shared" si="45"/>
        <v>X</v>
      </c>
      <c r="BL57" s="51" t="b">
        <f>IF(ISNUMBER(BI57), IF(BK57=$H57,IF(BI57=$F57,IF(BJ57=$G57,2,1),1),0))</f>
        <v>0</v>
      </c>
      <c r="BM57" s="48"/>
      <c r="BN57" s="49"/>
      <c r="BO57" s="50" t="str">
        <f t="shared" si="46"/>
        <v>X</v>
      </c>
      <c r="BP57" s="51" t="b">
        <f>IF(ISNUMBER(BM57), IF(BO57=$H57,IF(BM57=$F57,IF(BN57=$G57,2,1),1),0))</f>
        <v>0</v>
      </c>
      <c r="BQ57" s="48"/>
      <c r="BR57" s="49"/>
      <c r="BS57" s="50" t="str">
        <f t="shared" si="47"/>
        <v>X</v>
      </c>
      <c r="BT57" s="51" t="b">
        <f>IF(ISNUMBER(BQ57), IF(BS57=$H57,IF(BQ57=$F57,IF(BR57=$G57,2,1),1),0))</f>
        <v>0</v>
      </c>
      <c r="BU57" s="45"/>
      <c r="BV57" s="46"/>
      <c r="BW57" s="50" t="str">
        <f t="shared" si="48"/>
        <v>X</v>
      </c>
      <c r="BX57" s="51" t="b">
        <f>IF(ISNUMBER(BU57), IF(BW57=$H57,IF(BU57=$F57,IF(BV57=$G57,2,1),1),0))</f>
        <v>0</v>
      </c>
      <c r="BY57" s="45"/>
      <c r="BZ57" s="46"/>
      <c r="CA57" s="50" t="str">
        <f t="shared" si="49"/>
        <v>X</v>
      </c>
      <c r="CB57" s="51" t="b">
        <f>IF(ISNUMBER(BY57), IF(CA57=$H57,IF(BY57=$F57,IF(BZ57=$G57,2,1),1),0))</f>
        <v>0</v>
      </c>
      <c r="CC57" s="48"/>
      <c r="CD57" s="49"/>
      <c r="CE57" s="50" t="str">
        <f t="shared" si="50"/>
        <v>X</v>
      </c>
      <c r="CF57" s="51" t="b">
        <f>IF(ISNUMBER(CC57), IF(CE57=$H57,IF(CC57=$F57,IF(CD57=$G57,2,1),1),0))</f>
        <v>0</v>
      </c>
      <c r="CG57" s="45"/>
      <c r="CH57" s="46"/>
      <c r="CI57" s="50" t="str">
        <f t="shared" si="51"/>
        <v>X</v>
      </c>
      <c r="CJ57" s="51" t="b">
        <f>IF(ISNUMBER(CG57), IF(CI57=$H57,IF(CG57=$F57,IF(CH57=$G57,2,1),1),0))</f>
        <v>0</v>
      </c>
      <c r="CK57" s="45"/>
      <c r="CL57" s="46"/>
      <c r="CM57" s="50" t="str">
        <f t="shared" si="52"/>
        <v>X</v>
      </c>
      <c r="CN57" s="51" t="b">
        <f>IF(ISNUMBER(CK57), IF(CM57=$H57,IF(CK57=$F57,IF(CL57=$G57,2,1),1),0))</f>
        <v>0</v>
      </c>
      <c r="CO57" s="48"/>
      <c r="CP57" s="49"/>
      <c r="CQ57" s="50" t="str">
        <f t="shared" si="53"/>
        <v>X</v>
      </c>
      <c r="CR57" s="51" t="b">
        <f>IF(ISNUMBER(CO57), IF(CQ57=$H57,IF(CO57=$F57,IF(CP57=$G57,2,1),1),0))</f>
        <v>0</v>
      </c>
      <c r="CS57" s="48"/>
      <c r="CT57" s="49"/>
      <c r="CU57" s="50" t="str">
        <f t="shared" si="54"/>
        <v>X</v>
      </c>
      <c r="CV57" s="51" t="b">
        <f>IF(ISNUMBER(CS57), IF(CU57=$H57,IF(CS57=$F57,IF(CT57=$G57,2,1),1),0))</f>
        <v>0</v>
      </c>
      <c r="CW57" s="48"/>
      <c r="CX57" s="49"/>
      <c r="CY57" s="50" t="str">
        <f t="shared" si="55"/>
        <v>X</v>
      </c>
      <c r="CZ57" s="51" t="b">
        <f>IF(ISNUMBER(CW57), IF(CY57=$H57,IF(CW57=$F57,IF(CX57=$G57,2,1),1),0))</f>
        <v>0</v>
      </c>
      <c r="DA57" s="48"/>
      <c r="DB57" s="49"/>
      <c r="DC57" s="50" t="str">
        <f t="shared" si="56"/>
        <v>X</v>
      </c>
      <c r="DD57" s="51" t="b">
        <f>IF(ISNUMBER(DA57), IF(DC57=$H57,IF(DA57=$F57,IF(DB57=$G57,2,1),1),0))</f>
        <v>0</v>
      </c>
      <c r="DE57" s="48"/>
      <c r="DF57" s="49"/>
      <c r="DG57" s="50" t="str">
        <f t="shared" si="57"/>
        <v>X</v>
      </c>
      <c r="DH57" s="51" t="b">
        <f>IF(ISNUMBER(DE57), IF(DG57=$H57,IF(DE57=$F57,IF(DF57=$G57,2,1),1),0))</f>
        <v>0</v>
      </c>
      <c r="DI57" s="48"/>
      <c r="DJ57" s="49"/>
      <c r="DK57" s="50" t="str">
        <f t="shared" si="58"/>
        <v>X</v>
      </c>
      <c r="DL57" s="51" t="b">
        <f>IF(ISNUMBER(DI57), IF(DK57=$H57,IF(DI57=$F57,IF(DJ57=$G57,2,1),1),0))</f>
        <v>0</v>
      </c>
      <c r="DM57" s="48"/>
      <c r="DN57" s="49"/>
      <c r="DO57" s="50" t="str">
        <f t="shared" si="29"/>
        <v>X</v>
      </c>
      <c r="DP57" s="51" t="b">
        <f>IF(ISNUMBER(DM57), IF(DO57=$H57,IF(DM57=$F57,IF(DN57=$G57,2,1),1),0))</f>
        <v>0</v>
      </c>
    </row>
    <row r="58" spans="1:120" ht="13" customHeight="1" thickBot="1">
      <c r="A58" s="41"/>
      <c r="B58" s="42"/>
      <c r="C58" s="43"/>
      <c r="D58" s="44" t="s">
        <v>143</v>
      </c>
      <c r="E58" s="33">
        <f t="shared" si="30"/>
        <v>0</v>
      </c>
      <c r="F58" s="45"/>
      <c r="G58" s="46"/>
      <c r="H58" s="47" t="b">
        <f t="shared" si="31"/>
        <v>0</v>
      </c>
      <c r="I58" s="48"/>
      <c r="J58" s="49"/>
      <c r="K58" s="50" t="str">
        <f t="shared" si="32"/>
        <v>X</v>
      </c>
      <c r="L58" s="51" t="b">
        <f>IF(ISNUMBER(I58), IF(K58=$H58,IF(I58=$F58,IF(J58=$G58,2,1),1),0))</f>
        <v>0</v>
      </c>
      <c r="M58" s="45"/>
      <c r="N58" s="46"/>
      <c r="O58" s="50" t="str">
        <f t="shared" si="33"/>
        <v>X</v>
      </c>
      <c r="P58" s="51" t="b">
        <f>IF(ISNUMBER(M58), IF(O58=$H58,IF(M58=$F58,IF(N58=$G58,2,1),1),0))</f>
        <v>0</v>
      </c>
      <c r="Q58" s="45"/>
      <c r="R58" s="46"/>
      <c r="S58" s="50" t="str">
        <f t="shared" si="34"/>
        <v>X</v>
      </c>
      <c r="T58" s="51" t="b">
        <f>IF(ISNUMBER(Q58), IF(S58=$H58,IF(Q58=$F58,IF(R58=$G58,2,1),1),0))</f>
        <v>0</v>
      </c>
      <c r="U58" s="45"/>
      <c r="V58" s="46"/>
      <c r="W58" s="50" t="str">
        <f t="shared" si="35"/>
        <v>X</v>
      </c>
      <c r="X58" s="51" t="b">
        <f>IF(ISNUMBER(U58), IF(W58=$H58,IF(U58=$F58,IF(V58=$G58,2,1),1),0))</f>
        <v>0</v>
      </c>
      <c r="Y58" s="45"/>
      <c r="Z58" s="46"/>
      <c r="AA58" s="50" t="str">
        <f t="shared" si="36"/>
        <v>X</v>
      </c>
      <c r="AB58" s="51" t="b">
        <f>IF(ISNUMBER(Y58), IF(AA58=$H58,IF(Y58=$F58,IF(Z58=$G58,2,1),1),0))</f>
        <v>0</v>
      </c>
      <c r="AC58" s="45"/>
      <c r="AD58" s="46"/>
      <c r="AE58" s="50" t="str">
        <f t="shared" si="37"/>
        <v>X</v>
      </c>
      <c r="AF58" s="51" t="b">
        <f>IF(ISNUMBER(AC58), IF(AE58=$H58,IF(AC58=$F58,IF(AD58=$G58,2,1),1),0))</f>
        <v>0</v>
      </c>
      <c r="AG58" s="45"/>
      <c r="AH58" s="46"/>
      <c r="AI58" s="50" t="str">
        <f t="shared" si="38"/>
        <v>X</v>
      </c>
      <c r="AJ58" s="51" t="b">
        <f>IF(ISNUMBER(AG58), IF(AI58=$H58,IF(AG58=$F58,IF(AH58=$G58,2,1),1),0))</f>
        <v>0</v>
      </c>
      <c r="AK58" s="48"/>
      <c r="AL58" s="49"/>
      <c r="AM58" s="50" t="str">
        <f t="shared" si="39"/>
        <v>X</v>
      </c>
      <c r="AN58" s="51" t="b">
        <f>IF(ISNUMBER(AK58), IF(AM58=$H58,IF(AK58=$F58,IF(AL58=$G58,2,1),1),0))</f>
        <v>0</v>
      </c>
      <c r="AO58" s="45"/>
      <c r="AP58" s="46"/>
      <c r="AQ58" s="50" t="str">
        <f t="shared" si="40"/>
        <v>X</v>
      </c>
      <c r="AR58" s="51" t="b">
        <f>IF(ISNUMBER(AO58), IF(AQ58=$H58,IF(AO58=$F58,IF(AP58=$G58,2,1),1),0))</f>
        <v>0</v>
      </c>
      <c r="AS58" s="45"/>
      <c r="AT58" s="46"/>
      <c r="AU58" s="50" t="str">
        <f t="shared" si="41"/>
        <v>X</v>
      </c>
      <c r="AV58" s="51" t="b">
        <f>IF(ISNUMBER(AS58), IF(AU58=$H58,IF(AS58=$F58,IF(AT58=$G58,2,1),1),0))</f>
        <v>0</v>
      </c>
      <c r="AW58" s="45"/>
      <c r="AX58" s="46"/>
      <c r="AY58" s="50" t="str">
        <f t="shared" si="42"/>
        <v>X</v>
      </c>
      <c r="AZ58" s="51" t="b">
        <f>IF(ISNUMBER(AW58), IF(AY58=$H58,IF(AW58=$F58,IF(AX58=$G58,2,1),1),0))</f>
        <v>0</v>
      </c>
      <c r="BA58" s="48"/>
      <c r="BB58" s="49"/>
      <c r="BC58" s="50" t="str">
        <f t="shared" si="43"/>
        <v>X</v>
      </c>
      <c r="BD58" s="51" t="b">
        <f>IF(ISNUMBER(BA58), IF(BC58=$H58,IF(BA58=$F58,IF(BB58=$G58,2,1),1),0))</f>
        <v>0</v>
      </c>
      <c r="BE58" s="45"/>
      <c r="BF58" s="46"/>
      <c r="BG58" s="50" t="str">
        <f t="shared" si="44"/>
        <v>X</v>
      </c>
      <c r="BH58" s="51" t="b">
        <f>IF(ISNUMBER(BE58), IF(BG58=$H58,IF(BE58=$F58,IF(BF58=$G58,2,1),1),0))</f>
        <v>0</v>
      </c>
      <c r="BI58" s="48"/>
      <c r="BJ58" s="49"/>
      <c r="BK58" s="50" t="str">
        <f t="shared" si="45"/>
        <v>X</v>
      </c>
      <c r="BL58" s="51" t="b">
        <f>IF(ISNUMBER(BI58), IF(BK58=$H58,IF(BI58=$F58,IF(BJ58=$G58,2,1),1),0))</f>
        <v>0</v>
      </c>
      <c r="BM58" s="48"/>
      <c r="BN58" s="49"/>
      <c r="BO58" s="50" t="str">
        <f t="shared" si="46"/>
        <v>X</v>
      </c>
      <c r="BP58" s="51" t="b">
        <f>IF(ISNUMBER(BM58), IF(BO58=$H58,IF(BM58=$F58,IF(BN58=$G58,2,1),1),0))</f>
        <v>0</v>
      </c>
      <c r="BQ58" s="48"/>
      <c r="BR58" s="49"/>
      <c r="BS58" s="50" t="str">
        <f t="shared" si="47"/>
        <v>X</v>
      </c>
      <c r="BT58" s="51" t="b">
        <f>IF(ISNUMBER(BQ58), IF(BS58=$H58,IF(BQ58=$F58,IF(BR58=$G58,2,1),1),0))</f>
        <v>0</v>
      </c>
      <c r="BU58" s="45"/>
      <c r="BV58" s="46"/>
      <c r="BW58" s="50" t="str">
        <f t="shared" si="48"/>
        <v>X</v>
      </c>
      <c r="BX58" s="51" t="b">
        <f>IF(ISNUMBER(BU58), IF(BW58=$H58,IF(BU58=$F58,IF(BV58=$G58,2,1),1),0))</f>
        <v>0</v>
      </c>
      <c r="BY58" s="45"/>
      <c r="BZ58" s="46"/>
      <c r="CA58" s="50" t="str">
        <f t="shared" si="49"/>
        <v>X</v>
      </c>
      <c r="CB58" s="51" t="b">
        <f>IF(ISNUMBER(BY58), IF(CA58=$H58,IF(BY58=$F58,IF(BZ58=$G58,2,1),1),0))</f>
        <v>0</v>
      </c>
      <c r="CC58" s="48"/>
      <c r="CD58" s="49"/>
      <c r="CE58" s="50" t="str">
        <f t="shared" si="50"/>
        <v>X</v>
      </c>
      <c r="CF58" s="51" t="b">
        <f>IF(ISNUMBER(CC58), IF(CE58=$H58,IF(CC58=$F58,IF(CD58=$G58,2,1),1),0))</f>
        <v>0</v>
      </c>
      <c r="CG58" s="45"/>
      <c r="CH58" s="46"/>
      <c r="CI58" s="50" t="str">
        <f t="shared" si="51"/>
        <v>X</v>
      </c>
      <c r="CJ58" s="51" t="b">
        <f>IF(ISNUMBER(CG58), IF(CI58=$H58,IF(CG58=$F58,IF(CH58=$G58,2,1),1),0))</f>
        <v>0</v>
      </c>
      <c r="CK58" s="45"/>
      <c r="CL58" s="46"/>
      <c r="CM58" s="50" t="str">
        <f t="shared" si="52"/>
        <v>X</v>
      </c>
      <c r="CN58" s="51" t="b">
        <f>IF(ISNUMBER(CK58), IF(CM58=$H58,IF(CK58=$F58,IF(CL58=$G58,2,1),1),0))</f>
        <v>0</v>
      </c>
      <c r="CO58" s="48"/>
      <c r="CP58" s="49"/>
      <c r="CQ58" s="50" t="str">
        <f t="shared" si="53"/>
        <v>X</v>
      </c>
      <c r="CR58" s="51" t="b">
        <f>IF(ISNUMBER(CO58), IF(CQ58=$H58,IF(CO58=$F58,IF(CP58=$G58,2,1),1),0))</f>
        <v>0</v>
      </c>
      <c r="CS58" s="48"/>
      <c r="CT58" s="49"/>
      <c r="CU58" s="50" t="str">
        <f t="shared" si="54"/>
        <v>X</v>
      </c>
      <c r="CV58" s="51" t="b">
        <f>IF(ISNUMBER(CS58), IF(CU58=$H58,IF(CS58=$F58,IF(CT58=$G58,2,1),1),0))</f>
        <v>0</v>
      </c>
      <c r="CW58" s="48"/>
      <c r="CX58" s="49"/>
      <c r="CY58" s="50" t="str">
        <f t="shared" si="55"/>
        <v>X</v>
      </c>
      <c r="CZ58" s="51" t="b">
        <f>IF(ISNUMBER(CW58), IF(CY58=$H58,IF(CW58=$F58,IF(CX58=$G58,2,1),1),0))</f>
        <v>0</v>
      </c>
      <c r="DA58" s="48"/>
      <c r="DB58" s="49"/>
      <c r="DC58" s="50" t="str">
        <f t="shared" si="56"/>
        <v>X</v>
      </c>
      <c r="DD58" s="51" t="b">
        <f>IF(ISNUMBER(DA58), IF(DC58=$H58,IF(DA58=$F58,IF(DB58=$G58,2,1),1),0))</f>
        <v>0</v>
      </c>
      <c r="DE58" s="48"/>
      <c r="DF58" s="49"/>
      <c r="DG58" s="50" t="str">
        <f t="shared" si="57"/>
        <v>X</v>
      </c>
      <c r="DH58" s="51" t="b">
        <f>IF(ISNUMBER(DE58), IF(DG58=$H58,IF(DE58=$F58,IF(DF58=$G58,2,1),1),0))</f>
        <v>0</v>
      </c>
      <c r="DI58" s="48"/>
      <c r="DJ58" s="49"/>
      <c r="DK58" s="50" t="str">
        <f t="shared" si="58"/>
        <v>X</v>
      </c>
      <c r="DL58" s="51" t="b">
        <f>IF(ISNUMBER(DI58), IF(DK58=$H58,IF(DI58=$F58,IF(DJ58=$G58,2,1),1),0))</f>
        <v>0</v>
      </c>
      <c r="DM58" s="48"/>
      <c r="DN58" s="49"/>
      <c r="DO58" s="50" t="str">
        <f t="shared" si="29"/>
        <v>X</v>
      </c>
      <c r="DP58" s="51" t="b">
        <f>IF(ISNUMBER(DM58), IF(DO58=$H58,IF(DM58=$F58,IF(DN58=$G58,2,1),1),0))</f>
        <v>0</v>
      </c>
    </row>
    <row r="59" spans="1:120" s="25" customFormat="1" ht="13" customHeight="1" thickBot="1">
      <c r="A59" s="52"/>
      <c r="B59" s="53"/>
      <c r="C59" s="54"/>
      <c r="D59" s="55" t="s">
        <v>144</v>
      </c>
      <c r="E59" s="33">
        <f t="shared" si="30"/>
        <v>0</v>
      </c>
      <c r="F59" s="56"/>
      <c r="G59" s="56"/>
      <c r="H59" s="57" t="b">
        <f t="shared" si="31"/>
        <v>0</v>
      </c>
      <c r="I59" s="58">
        <f>SUM(I56:I58)</f>
        <v>0</v>
      </c>
      <c r="J59" s="59">
        <f>SUM(J56:J58)</f>
        <v>0</v>
      </c>
      <c r="K59" s="59" t="str">
        <f t="shared" si="32"/>
        <v>X</v>
      </c>
      <c r="L59" s="60">
        <f>IF($H59=K59,SUM(L56:L58)+1,SUM(L56:L58))</f>
        <v>0</v>
      </c>
      <c r="M59" s="58">
        <f>SUM(M56:M58)</f>
        <v>0</v>
      </c>
      <c r="N59" s="59">
        <f>SUM(N56:N58)</f>
        <v>0</v>
      </c>
      <c r="O59" s="59" t="str">
        <f t="shared" si="33"/>
        <v>X</v>
      </c>
      <c r="P59" s="60">
        <f>IF($H59=O59,SUM(P56:P58)+1,SUM(P56:P58))</f>
        <v>0</v>
      </c>
      <c r="Q59" s="58">
        <f>SUM(Q56:Q58)</f>
        <v>0</v>
      </c>
      <c r="R59" s="59">
        <f>SUM(R56:R58)</f>
        <v>0</v>
      </c>
      <c r="S59" s="59" t="str">
        <f t="shared" si="34"/>
        <v>X</v>
      </c>
      <c r="T59" s="60">
        <f>IF($H59=S59,SUM(T56:T58)+1,SUM(T56:T58))</f>
        <v>0</v>
      </c>
      <c r="U59" s="58">
        <f>SUM(U56:U58)</f>
        <v>0</v>
      </c>
      <c r="V59" s="59">
        <f>SUM(V56:V58)</f>
        <v>0</v>
      </c>
      <c r="W59" s="59" t="str">
        <f t="shared" si="35"/>
        <v>X</v>
      </c>
      <c r="X59" s="60">
        <f>IF($H59=W59,SUM(X56:X58)+1,SUM(X56:X58))</f>
        <v>0</v>
      </c>
      <c r="Y59" s="58">
        <f>SUM(Y56:Y58)</f>
        <v>0</v>
      </c>
      <c r="Z59" s="59">
        <f>SUM(Z56:Z58)</f>
        <v>0</v>
      </c>
      <c r="AA59" s="59" t="str">
        <f t="shared" si="36"/>
        <v>X</v>
      </c>
      <c r="AB59" s="60">
        <f>IF($H59=AA59,SUM(AB56:AB58)+1,SUM(AB56:AB58))</f>
        <v>0</v>
      </c>
      <c r="AC59" s="58">
        <f>SUM(AC56:AC58)</f>
        <v>0</v>
      </c>
      <c r="AD59" s="59">
        <f>SUM(AD56:AD58)</f>
        <v>0</v>
      </c>
      <c r="AE59" s="59" t="str">
        <f t="shared" si="37"/>
        <v>X</v>
      </c>
      <c r="AF59" s="60">
        <f>IF($H59=AE59,SUM(AF56:AF58)+1,SUM(AF56:AF58))</f>
        <v>0</v>
      </c>
      <c r="AG59" s="58">
        <f>SUM(AG56:AG58)</f>
        <v>0</v>
      </c>
      <c r="AH59" s="59">
        <f>SUM(AH56:AH58)</f>
        <v>0</v>
      </c>
      <c r="AI59" s="59" t="str">
        <f t="shared" si="38"/>
        <v>X</v>
      </c>
      <c r="AJ59" s="60">
        <f>IF($H59=AI59,SUM(AJ56:AJ58)+1,SUM(AJ56:AJ58))</f>
        <v>0</v>
      </c>
      <c r="AK59" s="58">
        <f>SUM(AK56:AK58)</f>
        <v>0</v>
      </c>
      <c r="AL59" s="59">
        <f>SUM(AL56:AL58)</f>
        <v>0</v>
      </c>
      <c r="AM59" s="59" t="str">
        <f t="shared" si="39"/>
        <v>X</v>
      </c>
      <c r="AN59" s="60">
        <f>IF($H59=AM59,SUM(AN56:AN58)+1,SUM(AN56:AN58))</f>
        <v>0</v>
      </c>
      <c r="AO59" s="58">
        <f>SUM(AO56:AO58)</f>
        <v>0</v>
      </c>
      <c r="AP59" s="59">
        <f>SUM(AP56:AP58)</f>
        <v>0</v>
      </c>
      <c r="AQ59" s="59" t="str">
        <f t="shared" si="40"/>
        <v>X</v>
      </c>
      <c r="AR59" s="60">
        <f>IF($H59=AQ59,SUM(AR56:AR58)+1,SUM(AR56:AR58))</f>
        <v>0</v>
      </c>
      <c r="AS59" s="58">
        <f>SUM(AS56:AS58)</f>
        <v>0</v>
      </c>
      <c r="AT59" s="59">
        <f>SUM(AT56:AT58)</f>
        <v>0</v>
      </c>
      <c r="AU59" s="59" t="str">
        <f t="shared" si="41"/>
        <v>X</v>
      </c>
      <c r="AV59" s="60">
        <f>IF($H59=AU59,SUM(AV56:AV58)+1,SUM(AV56:AV58))</f>
        <v>0</v>
      </c>
      <c r="AW59" s="58">
        <f>SUM(AW56:AW58)</f>
        <v>0</v>
      </c>
      <c r="AX59" s="59">
        <f>SUM(AX56:AX58)</f>
        <v>0</v>
      </c>
      <c r="AY59" s="59" t="str">
        <f t="shared" si="42"/>
        <v>X</v>
      </c>
      <c r="AZ59" s="60">
        <f>IF($H59=AY59,SUM(AZ56:AZ58)+1,SUM(AZ56:AZ58))</f>
        <v>0</v>
      </c>
      <c r="BA59" s="58">
        <f>SUM(BA56:BA58)</f>
        <v>0</v>
      </c>
      <c r="BB59" s="59">
        <f>SUM(BB56:BB58)</f>
        <v>0</v>
      </c>
      <c r="BC59" s="59" t="str">
        <f t="shared" si="43"/>
        <v>X</v>
      </c>
      <c r="BD59" s="60">
        <f>IF($H59=BC59,SUM(BD56:BD58)+1,SUM(BD56:BD58))</f>
        <v>0</v>
      </c>
      <c r="BE59" s="58">
        <f>SUM(BE56:BE58)</f>
        <v>0</v>
      </c>
      <c r="BF59" s="59">
        <f>SUM(BF56:BF58)</f>
        <v>0</v>
      </c>
      <c r="BG59" s="59" t="str">
        <f t="shared" si="44"/>
        <v>X</v>
      </c>
      <c r="BH59" s="60">
        <f>IF($H59=BG59,SUM(BH56:BH58)+1,SUM(BH56:BH58))</f>
        <v>0</v>
      </c>
      <c r="BI59" s="58">
        <f>SUM(BI56:BI58)</f>
        <v>0</v>
      </c>
      <c r="BJ59" s="59">
        <f>SUM(BJ56:BJ58)</f>
        <v>0</v>
      </c>
      <c r="BK59" s="59" t="str">
        <f t="shared" si="45"/>
        <v>X</v>
      </c>
      <c r="BL59" s="60">
        <f>IF($H59=BK59,SUM(BL56:BL58)+1,SUM(BL56:BL58))</f>
        <v>0</v>
      </c>
      <c r="BM59" s="58">
        <f>SUM(BM56:BM58)</f>
        <v>0</v>
      </c>
      <c r="BN59" s="59">
        <f>SUM(BN56:BN58)</f>
        <v>0</v>
      </c>
      <c r="BO59" s="59" t="str">
        <f t="shared" si="46"/>
        <v>X</v>
      </c>
      <c r="BP59" s="60">
        <f>IF($H59=BO59,SUM(BP56:BP58)+1,SUM(BP56:BP58))</f>
        <v>0</v>
      </c>
      <c r="BQ59" s="58">
        <f>SUM(BQ56:BQ58)</f>
        <v>0</v>
      </c>
      <c r="BR59" s="59">
        <f>SUM(BR56:BR58)</f>
        <v>0</v>
      </c>
      <c r="BS59" s="59" t="str">
        <f t="shared" si="47"/>
        <v>X</v>
      </c>
      <c r="BT59" s="60">
        <f>IF($H59=BS59,SUM(BT56:BT58)+1,SUM(BT56:BT58))</f>
        <v>0</v>
      </c>
      <c r="BU59" s="58">
        <f>SUM(BU56:BU58)</f>
        <v>0</v>
      </c>
      <c r="BV59" s="59">
        <f>SUM(BV56:BV58)</f>
        <v>0</v>
      </c>
      <c r="BW59" s="59" t="str">
        <f t="shared" si="48"/>
        <v>X</v>
      </c>
      <c r="BX59" s="60">
        <f>IF($H59=BW59,SUM(BX56:BX58)+1,SUM(BX56:BX58))</f>
        <v>0</v>
      </c>
      <c r="BY59" s="58">
        <f>SUM(BY56:BY58)</f>
        <v>0</v>
      </c>
      <c r="BZ59" s="59">
        <f>SUM(BZ56:BZ58)</f>
        <v>0</v>
      </c>
      <c r="CA59" s="59" t="str">
        <f t="shared" si="49"/>
        <v>X</v>
      </c>
      <c r="CB59" s="60">
        <f>IF($H59=CA59,SUM(CB56:CB58)+1,SUM(CB56:CB58))</f>
        <v>0</v>
      </c>
      <c r="CC59" s="58">
        <f>SUM(CC56:CC58)</f>
        <v>0</v>
      </c>
      <c r="CD59" s="59">
        <f>SUM(CD56:CD58)</f>
        <v>0</v>
      </c>
      <c r="CE59" s="59" t="str">
        <f t="shared" si="50"/>
        <v>X</v>
      </c>
      <c r="CF59" s="60">
        <f>IF($H59=CE59,SUM(CF56:CF58)+1,SUM(CF56:CF58))</f>
        <v>0</v>
      </c>
      <c r="CG59" s="58">
        <f>SUM(CG56:CG58)</f>
        <v>0</v>
      </c>
      <c r="CH59" s="59">
        <f>SUM(CH56:CH58)</f>
        <v>0</v>
      </c>
      <c r="CI59" s="59" t="str">
        <f t="shared" si="51"/>
        <v>X</v>
      </c>
      <c r="CJ59" s="60">
        <f>IF($H59=CI59,SUM(CJ56:CJ58)+1,SUM(CJ56:CJ58))</f>
        <v>0</v>
      </c>
      <c r="CK59" s="58">
        <f>SUM(CK56:CK58)</f>
        <v>0</v>
      </c>
      <c r="CL59" s="59">
        <f>SUM(CL56:CL58)</f>
        <v>0</v>
      </c>
      <c r="CM59" s="59" t="str">
        <f t="shared" si="52"/>
        <v>X</v>
      </c>
      <c r="CN59" s="60">
        <f>IF($H59=CM59,SUM(CN56:CN58)+1,SUM(CN56:CN58))</f>
        <v>0</v>
      </c>
      <c r="CO59" s="58">
        <f>SUM(CO56:CO58)</f>
        <v>0</v>
      </c>
      <c r="CP59" s="59">
        <f>SUM(CP56:CP58)</f>
        <v>0</v>
      </c>
      <c r="CQ59" s="59" t="str">
        <f t="shared" si="53"/>
        <v>X</v>
      </c>
      <c r="CR59" s="60">
        <f>IF($H59=CQ59,SUM(CR56:CR58)+1,SUM(CR56:CR58))</f>
        <v>0</v>
      </c>
      <c r="CS59" s="58">
        <f>SUM(CS56:CS58)</f>
        <v>0</v>
      </c>
      <c r="CT59" s="59">
        <f>SUM(CT56:CT58)</f>
        <v>0</v>
      </c>
      <c r="CU59" s="59" t="str">
        <f t="shared" si="54"/>
        <v>X</v>
      </c>
      <c r="CV59" s="60">
        <f>IF($H59=CU59,SUM(CV56:CV58)+1,SUM(CV56:CV58))</f>
        <v>0</v>
      </c>
      <c r="CW59" s="58">
        <f>SUM(CW56:CW58)</f>
        <v>0</v>
      </c>
      <c r="CX59" s="59">
        <f>SUM(CX56:CX58)</f>
        <v>0</v>
      </c>
      <c r="CY59" s="59" t="str">
        <f t="shared" si="55"/>
        <v>X</v>
      </c>
      <c r="CZ59" s="60">
        <f>IF($H59=CY59,SUM(CZ56:CZ58)+1,SUM(CZ56:CZ58))</f>
        <v>0</v>
      </c>
      <c r="DA59" s="58">
        <f>SUM(DA56:DA58)</f>
        <v>0</v>
      </c>
      <c r="DB59" s="59">
        <f>SUM(DB56:DB58)</f>
        <v>0</v>
      </c>
      <c r="DC59" s="59" t="str">
        <f t="shared" si="56"/>
        <v>X</v>
      </c>
      <c r="DD59" s="60">
        <f>IF($H59=DC59,SUM(DD56:DD58)+1,SUM(DD56:DD58))</f>
        <v>0</v>
      </c>
      <c r="DE59" s="58">
        <f>SUM(DE56:DE58)</f>
        <v>0</v>
      </c>
      <c r="DF59" s="59">
        <f>SUM(DF56:DF58)</f>
        <v>0</v>
      </c>
      <c r="DG59" s="59" t="str">
        <f t="shared" si="57"/>
        <v>X</v>
      </c>
      <c r="DH59" s="60">
        <f>IF($H59=DG59,SUM(DH56:DH58)+1,SUM(DH56:DH58))</f>
        <v>0</v>
      </c>
      <c r="DI59" s="58">
        <f>SUM(DI56:DI58)</f>
        <v>0</v>
      </c>
      <c r="DJ59" s="59">
        <f>SUM(DJ56:DJ58)</f>
        <v>0</v>
      </c>
      <c r="DK59" s="59" t="str">
        <f t="shared" si="58"/>
        <v>X</v>
      </c>
      <c r="DL59" s="60">
        <f>IF($H59=DK59,SUM(DL56:DL58)+1,SUM(DL56:DL58))</f>
        <v>0</v>
      </c>
      <c r="DM59" s="58">
        <f>SUM(DM56:DM58)</f>
        <v>0</v>
      </c>
      <c r="DN59" s="59">
        <f>SUM(DN56:DN58)</f>
        <v>0</v>
      </c>
      <c r="DO59" s="59" t="str">
        <f t="shared" si="29"/>
        <v>X</v>
      </c>
      <c r="DP59" s="60">
        <f>IF($H59=DO59,SUM(DP56:DP58)+1,SUM(DP56:DP58))</f>
        <v>0</v>
      </c>
    </row>
    <row r="60" spans="1:120" ht="13" customHeight="1" thickBot="1">
      <c r="A60" s="113">
        <f>A56+3</f>
        <v>43450</v>
      </c>
      <c r="B60" s="30" t="s">
        <v>147</v>
      </c>
      <c r="C60" s="31"/>
      <c r="D60" s="32" t="s">
        <v>141</v>
      </c>
      <c r="E60" s="33">
        <f t="shared" si="30"/>
        <v>0</v>
      </c>
      <c r="F60" s="34"/>
      <c r="G60" s="35"/>
      <c r="H60" s="36" t="b">
        <f t="shared" si="31"/>
        <v>0</v>
      </c>
      <c r="I60" s="37"/>
      <c r="J60" s="38"/>
      <c r="K60" s="39" t="str">
        <f t="shared" si="32"/>
        <v>X</v>
      </c>
      <c r="L60" s="40" t="b">
        <f>IF(ISNUMBER(I60), IF(K60=$H60,IF(I60=$F60,IF(J60=$G60,IF($F60-$G60&gt;=3,6,IF($G60-$F60&gt;=3,6,IF($F60+$G60&gt;=4,6,5))),3),3),0))</f>
        <v>0</v>
      </c>
      <c r="M60" s="37"/>
      <c r="N60" s="38"/>
      <c r="O60" s="39" t="str">
        <f t="shared" si="33"/>
        <v>X</v>
      </c>
      <c r="P60" s="40" t="b">
        <f>IF(ISNUMBER(M60), IF(O60=$H60,IF(M60=$F60,IF(N60=$G60,IF($F60-$G60&gt;=3,6,IF($G60-$F60&gt;=3,6,IF($F60+$G60&gt;=4,6,5))),3),3),0))</f>
        <v>0</v>
      </c>
      <c r="Q60" s="37"/>
      <c r="R60" s="38"/>
      <c r="S60" s="39" t="str">
        <f t="shared" si="34"/>
        <v>X</v>
      </c>
      <c r="T60" s="40" t="b">
        <f>IF(ISNUMBER(Q60), IF(S60=$H60,IF(Q60=$F60,IF(R60=$G60,IF($F60-$G60&gt;=3,6,IF($G60-$F60&gt;=3,6,IF($F60+$G60&gt;=4,6,5))),3),3),0))</f>
        <v>0</v>
      </c>
      <c r="U60" s="37"/>
      <c r="V60" s="38"/>
      <c r="W60" s="39" t="str">
        <f t="shared" si="35"/>
        <v>X</v>
      </c>
      <c r="X60" s="40" t="b">
        <f>IF(ISNUMBER(U60), IF(W60=$H60,IF(U60=$F60,IF(V60=$G60,IF($F60-$G60&gt;=3,6,IF($G60-$F60&gt;=3,6,IF($F60+$G60&gt;=4,6,5))),3),3),0))</f>
        <v>0</v>
      </c>
      <c r="Y60" s="37"/>
      <c r="Z60" s="38"/>
      <c r="AA60" s="39" t="str">
        <f t="shared" si="36"/>
        <v>X</v>
      </c>
      <c r="AB60" s="40" t="b">
        <f>IF(ISNUMBER(Y60), IF(AA60=$H60,IF(Y60=$F60,IF(Z60=$G60,IF($F60-$G60&gt;=3,6,IF($G60-$F60&gt;=3,6,IF($F60+$G60&gt;=4,6,5))),3),3),0))</f>
        <v>0</v>
      </c>
      <c r="AC60" s="34"/>
      <c r="AD60" s="35"/>
      <c r="AE60" s="39" t="str">
        <f t="shared" si="37"/>
        <v>X</v>
      </c>
      <c r="AF60" s="40" t="b">
        <f>IF(ISNUMBER(AC60), IF(AE60=$H60,IF(AC60=$F60,IF(AD60=$G60,IF($F60-$G60&gt;=3,6,IF($G60-$F60&gt;=3,6,IF($F60+$G60&gt;=4,6,5))),3),3),0))</f>
        <v>0</v>
      </c>
      <c r="AG60" s="37"/>
      <c r="AH60" s="38"/>
      <c r="AI60" s="39" t="str">
        <f t="shared" si="38"/>
        <v>X</v>
      </c>
      <c r="AJ60" s="40" t="b">
        <f>IF(ISNUMBER(AG60), IF(AI60=$H60,IF(AG60=$F60,IF(AH60=$G60,IF($F60-$G60&gt;=3,6,IF($G60-$F60&gt;=3,6,IF($F60+$G60&gt;=4,6,5))),3),3),0))</f>
        <v>0</v>
      </c>
      <c r="AK60" s="37"/>
      <c r="AL60" s="38"/>
      <c r="AM60" s="39" t="str">
        <f t="shared" si="39"/>
        <v>X</v>
      </c>
      <c r="AN60" s="40" t="b">
        <f>IF(ISNUMBER(AK60), IF(AM60=$H60,IF(AK60=$F60,IF(AL60=$G60,IF($F60-$G60&gt;=3,6,IF($G60-$F60&gt;=3,6,IF($F60+$G60&gt;=4,6,5))),3),3),0))</f>
        <v>0</v>
      </c>
      <c r="AO60" s="37"/>
      <c r="AP60" s="38"/>
      <c r="AQ60" s="39" t="str">
        <f t="shared" si="40"/>
        <v>X</v>
      </c>
      <c r="AR60" s="40" t="b">
        <f>IF(ISNUMBER(AO60), IF(AQ60=$H60,IF(AO60=$F60,IF(AP60=$G60,IF($F60-$G60&gt;=3,6,IF($G60-$F60&gt;=3,6,IF($F60+$G60&gt;=4,6,5))),3),3),0))</f>
        <v>0</v>
      </c>
      <c r="AS60" s="34"/>
      <c r="AT60" s="35"/>
      <c r="AU60" s="39" t="str">
        <f t="shared" si="41"/>
        <v>X</v>
      </c>
      <c r="AV60" s="40" t="b">
        <f>IF(ISNUMBER(AS60), IF(AU60=$H60,IF(AS60=$F60,IF(AT60=$G60,IF($F60-$G60&gt;=3,6,IF($G60-$F60&gt;=3,6,IF($F60+$G60&gt;=4,6,5))),3),3),0))</f>
        <v>0</v>
      </c>
      <c r="AW60" s="37"/>
      <c r="AX60" s="38"/>
      <c r="AY60" s="39" t="str">
        <f t="shared" si="42"/>
        <v>X</v>
      </c>
      <c r="AZ60" s="40" t="b">
        <f>IF(ISNUMBER(AW60), IF(AY60=$H60,IF(AW60=$F60,IF(AX60=$G60,IF($F60-$G60&gt;=3,6,IF($G60-$F60&gt;=3,6,IF($F60+$G60&gt;=4,6,5))),3),3),0))</f>
        <v>0</v>
      </c>
      <c r="BA60" s="37"/>
      <c r="BB60" s="38"/>
      <c r="BC60" s="39" t="str">
        <f t="shared" si="43"/>
        <v>X</v>
      </c>
      <c r="BD60" s="40" t="b">
        <f>IF(ISNUMBER(BA60), IF(BC60=$H60,IF(BA60=$F60,IF(BB60=$G60,IF($F60-$G60&gt;=3,6,IF($G60-$F60&gt;=3,6,IF($F60+$G60&gt;=4,6,5))),3),3),0))</f>
        <v>0</v>
      </c>
      <c r="BE60" s="37"/>
      <c r="BF60" s="38"/>
      <c r="BG60" s="39" t="str">
        <f t="shared" si="44"/>
        <v>X</v>
      </c>
      <c r="BH60" s="40" t="b">
        <f>IF(ISNUMBER(BE60), IF(BG60=$H60,IF(BE60=$F60,IF(BF60=$G60,IF($F60-$G60&gt;=3,6,IF($G60-$F60&gt;=3,6,IF($F60+$G60&gt;=4,6,5))),3),3),0))</f>
        <v>0</v>
      </c>
      <c r="BI60" s="37"/>
      <c r="BJ60" s="38"/>
      <c r="BK60" s="39" t="str">
        <f t="shared" si="45"/>
        <v>X</v>
      </c>
      <c r="BL60" s="40" t="b">
        <f>IF(ISNUMBER(BI60), IF(BK60=$H60,IF(BI60=$F60,IF(BJ60=$G60,IF($F60-$G60&gt;=3,6,IF($G60-$F60&gt;=3,6,IF($F60+$G60&gt;=4,6,5))),3),3),0))</f>
        <v>0</v>
      </c>
      <c r="BM60" s="37"/>
      <c r="BN60" s="38"/>
      <c r="BO60" s="39" t="str">
        <f t="shared" si="46"/>
        <v>X</v>
      </c>
      <c r="BP60" s="40" t="b">
        <f>IF(ISNUMBER(BM60), IF(BO60=$H60,IF(BM60=$F60,IF(BN60=$G60,IF($F60-$G60&gt;=3,6,IF($G60-$F60&gt;=3,6,IF($F60+$G60&gt;=4,6,5))),3),3),0))</f>
        <v>0</v>
      </c>
      <c r="BQ60" s="37"/>
      <c r="BR60" s="38"/>
      <c r="BS60" s="39" t="str">
        <f t="shared" si="47"/>
        <v>X</v>
      </c>
      <c r="BT60" s="40" t="b">
        <f>IF(ISNUMBER(BQ60), IF(BS60=$H60,IF(BQ60=$F60,IF(BR60=$G60,IF($F60-$G60&gt;=3,6,IF($G60-$F60&gt;=3,6,IF($F60+$G60&gt;=4,6,5))),3),3),0))</f>
        <v>0</v>
      </c>
      <c r="BU60" s="37"/>
      <c r="BV60" s="38"/>
      <c r="BW60" s="39" t="str">
        <f t="shared" si="48"/>
        <v>X</v>
      </c>
      <c r="BX60" s="40" t="b">
        <f>IF(ISNUMBER(BU60), IF(BW60=$H60,IF(BU60=$F60,IF(BV60=$G60,IF($F60-$G60&gt;=3,6,IF($G60-$F60&gt;=3,6,IF($F60+$G60&gt;=4,6,5))),3),3),0))</f>
        <v>0</v>
      </c>
      <c r="BY60" s="37"/>
      <c r="BZ60" s="38"/>
      <c r="CA60" s="39" t="str">
        <f t="shared" si="49"/>
        <v>X</v>
      </c>
      <c r="CB60" s="40" t="b">
        <f>IF(ISNUMBER(BY60), IF(CA60=$H60,IF(BY60=$F60,IF(BZ60=$G60,IF($F60-$G60&gt;=3,6,IF($G60-$F60&gt;=3,6,IF($F60+$G60&gt;=4,6,5))),3),3),0))</f>
        <v>0</v>
      </c>
      <c r="CC60" s="37"/>
      <c r="CD60" s="38"/>
      <c r="CE60" s="39" t="str">
        <f t="shared" si="50"/>
        <v>X</v>
      </c>
      <c r="CF60" s="40" t="b">
        <f>IF(ISNUMBER(CC60), IF(CE60=$H60,IF(CC60=$F60,IF(CD60=$G60,IF($F60-$G60&gt;=3,6,IF($G60-$F60&gt;=3,6,IF($F60+$G60&gt;=4,6,5))),3),3),0))</f>
        <v>0</v>
      </c>
      <c r="CG60" s="37"/>
      <c r="CH60" s="38"/>
      <c r="CI60" s="39" t="str">
        <f t="shared" si="51"/>
        <v>X</v>
      </c>
      <c r="CJ60" s="40" t="b">
        <f>IF(ISNUMBER(CG60), IF(CI60=$H60,IF(CG60=$F60,IF(CH60=$G60,IF($F60-$G60&gt;=3,6,IF($G60-$F60&gt;=3,6,IF($F60+$G60&gt;=4,6,5))),3),3),0))</f>
        <v>0</v>
      </c>
      <c r="CK60" s="37"/>
      <c r="CL60" s="38"/>
      <c r="CM60" s="39" t="str">
        <f t="shared" si="52"/>
        <v>X</v>
      </c>
      <c r="CN60" s="40" t="b">
        <f>IF(ISNUMBER(CK60), IF(CM60=$H60,IF(CK60=$F60,IF(CL60=$G60,IF($F60-$G60&gt;=3,6,IF($G60-$F60&gt;=3,6,IF($F60+$G60&gt;=4,6,5))),3),3),0))</f>
        <v>0</v>
      </c>
      <c r="CO60" s="37"/>
      <c r="CP60" s="38"/>
      <c r="CQ60" s="39" t="str">
        <f t="shared" si="53"/>
        <v>X</v>
      </c>
      <c r="CR60" s="40" t="b">
        <f>IF(ISNUMBER(CO60), IF(CQ60=$H60,IF(CO60=$F60,IF(CP60=$G60,IF($F60-$G60&gt;=3,6,IF($G60-$F60&gt;=3,6,IF($F60+$G60&gt;=4,6,5))),3),3),0))</f>
        <v>0</v>
      </c>
      <c r="CS60" s="37"/>
      <c r="CT60" s="38"/>
      <c r="CU60" s="39" t="str">
        <f t="shared" si="54"/>
        <v>X</v>
      </c>
      <c r="CV60" s="40" t="b">
        <f>IF(ISNUMBER(CS60), IF(CU60=$H60,IF(CS60=$F60,IF(CT60=$G60,IF($F60-$G60&gt;=3,6,IF($G60-$F60&gt;=3,6,IF($F60+$G60&gt;=4,6,5))),3),3),0))</f>
        <v>0</v>
      </c>
      <c r="CW60" s="37"/>
      <c r="CX60" s="38"/>
      <c r="CY60" s="39" t="str">
        <f t="shared" si="55"/>
        <v>X</v>
      </c>
      <c r="CZ60" s="40" t="b">
        <f>IF(ISNUMBER(CW60), IF(CY60=$H60,IF(CW60=$F60,IF(CX60=$G60,IF($F60-$G60&gt;=3,6,IF($G60-$F60&gt;=3,6,IF($F60+$G60&gt;=4,6,5))),3),3),0))</f>
        <v>0</v>
      </c>
      <c r="DA60" s="37"/>
      <c r="DB60" s="38"/>
      <c r="DC60" s="39" t="str">
        <f t="shared" si="56"/>
        <v>X</v>
      </c>
      <c r="DD60" s="40" t="b">
        <f>IF(ISNUMBER(DA60), IF(DC60=$H60,IF(DA60=$F60,IF(DB60=$G60,IF($F60-$G60&gt;=3,6,IF($G60-$F60&gt;=3,6,IF($F60+$G60&gt;=4,6,5))),3),3),0))</f>
        <v>0</v>
      </c>
      <c r="DE60" s="37"/>
      <c r="DF60" s="38"/>
      <c r="DG60" s="39" t="str">
        <f t="shared" si="57"/>
        <v>X</v>
      </c>
      <c r="DH60" s="40" t="b">
        <f>IF(ISNUMBER(DE60), IF(DG60=$H60,IF(DE60=$F60,IF(DF60=$G60,IF($F60-$G60&gt;=3,6,IF($G60-$F60&gt;=3,6,IF($F60+$G60&gt;=4,6,5))),3),3),0))</f>
        <v>0</v>
      </c>
      <c r="DI60" s="37"/>
      <c r="DJ60" s="38"/>
      <c r="DK60" s="39" t="str">
        <f t="shared" si="58"/>
        <v>X</v>
      </c>
      <c r="DL60" s="40" t="b">
        <f>IF(ISNUMBER(DI60), IF(DK60=$H60,IF(DI60=$F60,IF(DJ60=$G60,IF($F60-$G60&gt;=3,6,IF($G60-$F60&gt;=3,6,IF($F60+$G60&gt;=4,6,5))),3),3),0))</f>
        <v>0</v>
      </c>
      <c r="DM60" s="37"/>
      <c r="DN60" s="38"/>
      <c r="DO60" s="39" t="str">
        <f t="shared" si="29"/>
        <v>X</v>
      </c>
      <c r="DP60" s="40" t="b">
        <f>IF(ISNUMBER(DM60), IF(DO60=$H60,IF(DM60=$F60,IF(DN60=$G60,IF($F60-$G60&gt;=3,6,IF($G60-$F60&gt;=3,6,IF($F60+$G60&gt;=4,6,5))),3),3),0))</f>
        <v>0</v>
      </c>
    </row>
    <row r="61" spans="1:120" ht="13" customHeight="1" thickBot="1">
      <c r="A61" s="41"/>
      <c r="B61" s="42"/>
      <c r="C61" s="43"/>
      <c r="D61" s="44" t="s">
        <v>142</v>
      </c>
      <c r="E61" s="33">
        <f t="shared" si="30"/>
        <v>0</v>
      </c>
      <c r="F61" s="45"/>
      <c r="G61" s="46"/>
      <c r="H61" s="47" t="b">
        <f t="shared" si="31"/>
        <v>0</v>
      </c>
      <c r="I61" s="48"/>
      <c r="J61" s="49"/>
      <c r="K61" s="50" t="str">
        <f t="shared" si="32"/>
        <v>X</v>
      </c>
      <c r="L61" s="51" t="b">
        <f>IF(ISNUMBER(I61), IF(K61=$H61,IF(I61=$F61,IF(J61=$G61,2,1),1),0))</f>
        <v>0</v>
      </c>
      <c r="M61" s="48"/>
      <c r="N61" s="49"/>
      <c r="O61" s="50" t="str">
        <f t="shared" si="33"/>
        <v>X</v>
      </c>
      <c r="P61" s="51" t="b">
        <f>IF(ISNUMBER(M61), IF(O61=$H61,IF(M61=$F61,IF(N61=$G61,2,1),1),0))</f>
        <v>0</v>
      </c>
      <c r="Q61" s="48"/>
      <c r="R61" s="49"/>
      <c r="S61" s="50" t="str">
        <f t="shared" si="34"/>
        <v>X</v>
      </c>
      <c r="T61" s="51" t="b">
        <f>IF(ISNUMBER(Q61), IF(S61=$H61,IF(Q61=$F61,IF(R61=$G61,2,1),1),0))</f>
        <v>0</v>
      </c>
      <c r="U61" s="48"/>
      <c r="V61" s="49"/>
      <c r="W61" s="50" t="str">
        <f t="shared" si="35"/>
        <v>X</v>
      </c>
      <c r="X61" s="51" t="b">
        <f>IF(ISNUMBER(U61), IF(W61=$H61,IF(U61=$F61,IF(V61=$G61,2,1),1),0))</f>
        <v>0</v>
      </c>
      <c r="Y61" s="48"/>
      <c r="Z61" s="49"/>
      <c r="AA61" s="50" t="str">
        <f t="shared" si="36"/>
        <v>X</v>
      </c>
      <c r="AB61" s="51" t="b">
        <f>IF(ISNUMBER(Y61), IF(AA61=$H61,IF(Y61=$F61,IF(Z61=$G61,2,1),1),0))</f>
        <v>0</v>
      </c>
      <c r="AC61" s="45"/>
      <c r="AD61" s="46"/>
      <c r="AE61" s="50" t="str">
        <f t="shared" si="37"/>
        <v>X</v>
      </c>
      <c r="AF61" s="51" t="b">
        <f>IF(ISNUMBER(AC61), IF(AE61=$H61,IF(AC61=$F61,IF(AD61=$G61,2,1),1),0))</f>
        <v>0</v>
      </c>
      <c r="AG61" s="48"/>
      <c r="AH61" s="49"/>
      <c r="AI61" s="50" t="str">
        <f t="shared" si="38"/>
        <v>X</v>
      </c>
      <c r="AJ61" s="51" t="b">
        <f>IF(ISNUMBER(AG61), IF(AI61=$H61,IF(AG61=$F61,IF(AH61=$G61,2,1),1),0))</f>
        <v>0</v>
      </c>
      <c r="AK61" s="48"/>
      <c r="AL61" s="49"/>
      <c r="AM61" s="50" t="str">
        <f t="shared" si="39"/>
        <v>X</v>
      </c>
      <c r="AN61" s="51" t="b">
        <f>IF(ISNUMBER(AK61), IF(AM61=$H61,IF(AK61=$F61,IF(AL61=$G61,2,1),1),0))</f>
        <v>0</v>
      </c>
      <c r="AO61" s="48"/>
      <c r="AP61" s="49"/>
      <c r="AQ61" s="50" t="str">
        <f t="shared" si="40"/>
        <v>X</v>
      </c>
      <c r="AR61" s="51" t="b">
        <f>IF(ISNUMBER(AO61), IF(AQ61=$H61,IF(AO61=$F61,IF(AP61=$G61,2,1),1),0))</f>
        <v>0</v>
      </c>
      <c r="AS61" s="45"/>
      <c r="AT61" s="46"/>
      <c r="AU61" s="50" t="str">
        <f t="shared" si="41"/>
        <v>X</v>
      </c>
      <c r="AV61" s="51" t="b">
        <f>IF(ISNUMBER(AS61), IF(AU61=$H61,IF(AS61=$F61,IF(AT61=$G61,2,1),1),0))</f>
        <v>0</v>
      </c>
      <c r="AW61" s="48"/>
      <c r="AX61" s="49"/>
      <c r="AY61" s="50" t="str">
        <f t="shared" si="42"/>
        <v>X</v>
      </c>
      <c r="AZ61" s="51" t="b">
        <f>IF(ISNUMBER(AW61), IF(AY61=$H61,IF(AW61=$F61,IF(AX61=$G61,2,1),1),0))</f>
        <v>0</v>
      </c>
      <c r="BA61" s="48"/>
      <c r="BB61" s="49"/>
      <c r="BC61" s="50" t="str">
        <f t="shared" si="43"/>
        <v>X</v>
      </c>
      <c r="BD61" s="51" t="b">
        <f>IF(ISNUMBER(BA61), IF(BC61=$H61,IF(BA61=$F61,IF(BB61=$G61,2,1),1),0))</f>
        <v>0</v>
      </c>
      <c r="BE61" s="48"/>
      <c r="BF61" s="49"/>
      <c r="BG61" s="50" t="str">
        <f t="shared" si="44"/>
        <v>X</v>
      </c>
      <c r="BH61" s="51" t="b">
        <f>IF(ISNUMBER(BE61), IF(BG61=$H61,IF(BE61=$F61,IF(BF61=$G61,2,1),1),0))</f>
        <v>0</v>
      </c>
      <c r="BI61" s="48"/>
      <c r="BJ61" s="49"/>
      <c r="BK61" s="50" t="str">
        <f t="shared" si="45"/>
        <v>X</v>
      </c>
      <c r="BL61" s="51" t="b">
        <f>IF(ISNUMBER(BI61), IF(BK61=$H61,IF(BI61=$F61,IF(BJ61=$G61,2,1),1),0))</f>
        <v>0</v>
      </c>
      <c r="BM61" s="48"/>
      <c r="BN61" s="49"/>
      <c r="BO61" s="50" t="str">
        <f t="shared" si="46"/>
        <v>X</v>
      </c>
      <c r="BP61" s="51" t="b">
        <f>IF(ISNUMBER(BM61), IF(BO61=$H61,IF(BM61=$F61,IF(BN61=$G61,2,1),1),0))</f>
        <v>0</v>
      </c>
      <c r="BQ61" s="48"/>
      <c r="BR61" s="49"/>
      <c r="BS61" s="50" t="str">
        <f t="shared" si="47"/>
        <v>X</v>
      </c>
      <c r="BT61" s="51" t="b">
        <f>IF(ISNUMBER(BQ61), IF(BS61=$H61,IF(BQ61=$F61,IF(BR61=$G61,2,1),1),0))</f>
        <v>0</v>
      </c>
      <c r="BU61" s="48"/>
      <c r="BV61" s="49"/>
      <c r="BW61" s="50" t="str">
        <f t="shared" si="48"/>
        <v>X</v>
      </c>
      <c r="BX61" s="51" t="b">
        <f>IF(ISNUMBER(BU61), IF(BW61=$H61,IF(BU61=$F61,IF(BV61=$G61,2,1),1),0))</f>
        <v>0</v>
      </c>
      <c r="BY61" s="48"/>
      <c r="BZ61" s="49"/>
      <c r="CA61" s="50" t="str">
        <f t="shared" si="49"/>
        <v>X</v>
      </c>
      <c r="CB61" s="51" t="b">
        <f>IF(ISNUMBER(BY61), IF(CA61=$H61,IF(BY61=$F61,IF(BZ61=$G61,2,1),1),0))</f>
        <v>0</v>
      </c>
      <c r="CC61" s="48"/>
      <c r="CD61" s="49"/>
      <c r="CE61" s="50" t="str">
        <f t="shared" si="50"/>
        <v>X</v>
      </c>
      <c r="CF61" s="51" t="b">
        <f>IF(ISNUMBER(CC61), IF(CE61=$H61,IF(CC61=$F61,IF(CD61=$G61,2,1),1),0))</f>
        <v>0</v>
      </c>
      <c r="CG61" s="48"/>
      <c r="CH61" s="49"/>
      <c r="CI61" s="50" t="str">
        <f t="shared" si="51"/>
        <v>X</v>
      </c>
      <c r="CJ61" s="51" t="b">
        <f>IF(ISNUMBER(CG61), IF(CI61=$H61,IF(CG61=$F61,IF(CH61=$G61,2,1),1),0))</f>
        <v>0</v>
      </c>
      <c r="CK61" s="48"/>
      <c r="CL61" s="49"/>
      <c r="CM61" s="50" t="str">
        <f t="shared" si="52"/>
        <v>X</v>
      </c>
      <c r="CN61" s="51" t="b">
        <f>IF(ISNUMBER(CK61), IF(CM61=$H61,IF(CK61=$F61,IF(CL61=$G61,2,1),1),0))</f>
        <v>0</v>
      </c>
      <c r="CO61" s="48"/>
      <c r="CP61" s="49"/>
      <c r="CQ61" s="50" t="str">
        <f t="shared" si="53"/>
        <v>X</v>
      </c>
      <c r="CR61" s="51" t="b">
        <f>IF(ISNUMBER(CO61), IF(CQ61=$H61,IF(CO61=$F61,IF(CP61=$G61,2,1),1),0))</f>
        <v>0</v>
      </c>
      <c r="CS61" s="48"/>
      <c r="CT61" s="49"/>
      <c r="CU61" s="50" t="str">
        <f t="shared" si="54"/>
        <v>X</v>
      </c>
      <c r="CV61" s="51" t="b">
        <f>IF(ISNUMBER(CS61), IF(CU61=$H61,IF(CS61=$F61,IF(CT61=$G61,2,1),1),0))</f>
        <v>0</v>
      </c>
      <c r="CW61" s="48"/>
      <c r="CX61" s="49"/>
      <c r="CY61" s="50" t="str">
        <f t="shared" si="55"/>
        <v>X</v>
      </c>
      <c r="CZ61" s="51" t="b">
        <f>IF(ISNUMBER(CW61), IF(CY61=$H61,IF(CW61=$F61,IF(CX61=$G61,2,1),1),0))</f>
        <v>0</v>
      </c>
      <c r="DA61" s="48"/>
      <c r="DB61" s="49"/>
      <c r="DC61" s="50" t="str">
        <f t="shared" si="56"/>
        <v>X</v>
      </c>
      <c r="DD61" s="51" t="b">
        <f>IF(ISNUMBER(DA61), IF(DC61=$H61,IF(DA61=$F61,IF(DB61=$G61,2,1),1),0))</f>
        <v>0</v>
      </c>
      <c r="DE61" s="48"/>
      <c r="DF61" s="49"/>
      <c r="DG61" s="50" t="str">
        <f t="shared" si="57"/>
        <v>X</v>
      </c>
      <c r="DH61" s="51" t="b">
        <f>IF(ISNUMBER(DE61), IF(DG61=$H61,IF(DE61=$F61,IF(DF61=$G61,2,1),1),0))</f>
        <v>0</v>
      </c>
      <c r="DI61" s="48"/>
      <c r="DJ61" s="49"/>
      <c r="DK61" s="50" t="str">
        <f t="shared" si="58"/>
        <v>X</v>
      </c>
      <c r="DL61" s="51" t="b">
        <f>IF(ISNUMBER(DI61), IF(DK61=$H61,IF(DI61=$F61,IF(DJ61=$G61,2,1),1),0))</f>
        <v>0</v>
      </c>
      <c r="DM61" s="48"/>
      <c r="DN61" s="49"/>
      <c r="DO61" s="50" t="str">
        <f t="shared" si="29"/>
        <v>X</v>
      </c>
      <c r="DP61" s="51" t="b">
        <f>IF(ISNUMBER(DM61), IF(DO61=$H61,IF(DM61=$F61,IF(DN61=$G61,2,1),1),0))</f>
        <v>0</v>
      </c>
    </row>
    <row r="62" spans="1:120" ht="13" customHeight="1" thickBot="1">
      <c r="A62" s="41"/>
      <c r="B62" s="42"/>
      <c r="C62" s="43"/>
      <c r="D62" s="44" t="s">
        <v>143</v>
      </c>
      <c r="E62" s="33">
        <f t="shared" si="30"/>
        <v>0</v>
      </c>
      <c r="F62" s="45"/>
      <c r="G62" s="46"/>
      <c r="H62" s="47" t="b">
        <f t="shared" si="31"/>
        <v>0</v>
      </c>
      <c r="I62" s="48"/>
      <c r="J62" s="49"/>
      <c r="K62" s="50" t="str">
        <f t="shared" si="32"/>
        <v>X</v>
      </c>
      <c r="L62" s="51" t="b">
        <f>IF(ISNUMBER(I62), IF(K62=$H62,IF(I62=$F62,IF(J62=$G62,2,1),1),0))</f>
        <v>0</v>
      </c>
      <c r="M62" s="48"/>
      <c r="N62" s="49"/>
      <c r="O62" s="50" t="str">
        <f t="shared" si="33"/>
        <v>X</v>
      </c>
      <c r="P62" s="51" t="b">
        <f>IF(ISNUMBER(M62), IF(O62=$H62,IF(M62=$F62,IF(N62=$G62,2,1),1),0))</f>
        <v>0</v>
      </c>
      <c r="Q62" s="48"/>
      <c r="R62" s="49"/>
      <c r="S62" s="50" t="str">
        <f t="shared" si="34"/>
        <v>X</v>
      </c>
      <c r="T62" s="51" t="b">
        <f>IF(ISNUMBER(Q62), IF(S62=$H62,IF(Q62=$F62,IF(R62=$G62,2,1),1),0))</f>
        <v>0</v>
      </c>
      <c r="U62" s="48"/>
      <c r="V62" s="49"/>
      <c r="W62" s="50" t="str">
        <f t="shared" si="35"/>
        <v>X</v>
      </c>
      <c r="X62" s="51" t="b">
        <f>IF(ISNUMBER(U62), IF(W62=$H62,IF(U62=$F62,IF(V62=$G62,2,1),1),0))</f>
        <v>0</v>
      </c>
      <c r="Y62" s="48"/>
      <c r="Z62" s="49"/>
      <c r="AA62" s="50" t="str">
        <f t="shared" si="36"/>
        <v>X</v>
      </c>
      <c r="AB62" s="51" t="b">
        <f>IF(ISNUMBER(Y62), IF(AA62=$H62,IF(Y62=$F62,IF(Z62=$G62,2,1),1),0))</f>
        <v>0</v>
      </c>
      <c r="AC62" s="45"/>
      <c r="AD62" s="46"/>
      <c r="AE62" s="50" t="str">
        <f t="shared" si="37"/>
        <v>X</v>
      </c>
      <c r="AF62" s="51" t="b">
        <f>IF(ISNUMBER(AC62), IF(AE62=$H62,IF(AC62=$F62,IF(AD62=$G62,2,1),1),0))</f>
        <v>0</v>
      </c>
      <c r="AG62" s="48"/>
      <c r="AH62" s="49"/>
      <c r="AI62" s="50" t="str">
        <f t="shared" si="38"/>
        <v>X</v>
      </c>
      <c r="AJ62" s="51" t="b">
        <f>IF(ISNUMBER(AG62), IF(AI62=$H62,IF(AG62=$F62,IF(AH62=$G62,2,1),1),0))</f>
        <v>0</v>
      </c>
      <c r="AK62" s="48"/>
      <c r="AL62" s="49"/>
      <c r="AM62" s="50" t="str">
        <f t="shared" si="39"/>
        <v>X</v>
      </c>
      <c r="AN62" s="51" t="b">
        <f>IF(ISNUMBER(AK62), IF(AM62=$H62,IF(AK62=$F62,IF(AL62=$G62,2,1),1),0))</f>
        <v>0</v>
      </c>
      <c r="AO62" s="48"/>
      <c r="AP62" s="49"/>
      <c r="AQ62" s="50" t="str">
        <f t="shared" si="40"/>
        <v>X</v>
      </c>
      <c r="AR62" s="51" t="b">
        <f>IF(ISNUMBER(AO62), IF(AQ62=$H62,IF(AO62=$F62,IF(AP62=$G62,2,1),1),0))</f>
        <v>0</v>
      </c>
      <c r="AS62" s="45"/>
      <c r="AT62" s="46"/>
      <c r="AU62" s="50" t="str">
        <f t="shared" si="41"/>
        <v>X</v>
      </c>
      <c r="AV62" s="51" t="b">
        <f>IF(ISNUMBER(AS62), IF(AU62=$H62,IF(AS62=$F62,IF(AT62=$G62,2,1),1),0))</f>
        <v>0</v>
      </c>
      <c r="AW62" s="48"/>
      <c r="AX62" s="49"/>
      <c r="AY62" s="50" t="str">
        <f t="shared" si="42"/>
        <v>X</v>
      </c>
      <c r="AZ62" s="51" t="b">
        <f>IF(ISNUMBER(AW62), IF(AY62=$H62,IF(AW62=$F62,IF(AX62=$G62,2,1),1),0))</f>
        <v>0</v>
      </c>
      <c r="BA62" s="48"/>
      <c r="BB62" s="49"/>
      <c r="BC62" s="50" t="str">
        <f t="shared" si="43"/>
        <v>X</v>
      </c>
      <c r="BD62" s="51" t="b">
        <f>IF(ISNUMBER(BA62), IF(BC62=$H62,IF(BA62=$F62,IF(BB62=$G62,2,1),1),0))</f>
        <v>0</v>
      </c>
      <c r="BE62" s="48"/>
      <c r="BF62" s="49"/>
      <c r="BG62" s="50" t="str">
        <f t="shared" si="44"/>
        <v>X</v>
      </c>
      <c r="BH62" s="51" t="b">
        <f>IF(ISNUMBER(BE62), IF(BG62=$H62,IF(BE62=$F62,IF(BF62=$G62,2,1),1),0))</f>
        <v>0</v>
      </c>
      <c r="BI62" s="48"/>
      <c r="BJ62" s="49"/>
      <c r="BK62" s="50" t="str">
        <f t="shared" si="45"/>
        <v>X</v>
      </c>
      <c r="BL62" s="51" t="b">
        <f>IF(ISNUMBER(BI62), IF(BK62=$H62,IF(BI62=$F62,IF(BJ62=$G62,2,1),1),0))</f>
        <v>0</v>
      </c>
      <c r="BM62" s="48"/>
      <c r="BN62" s="49"/>
      <c r="BO62" s="50" t="str">
        <f t="shared" si="46"/>
        <v>X</v>
      </c>
      <c r="BP62" s="51" t="b">
        <f>IF(ISNUMBER(BM62), IF(BO62=$H62,IF(BM62=$F62,IF(BN62=$G62,2,1),1),0))</f>
        <v>0</v>
      </c>
      <c r="BQ62" s="48"/>
      <c r="BR62" s="49"/>
      <c r="BS62" s="50" t="str">
        <f t="shared" si="47"/>
        <v>X</v>
      </c>
      <c r="BT62" s="51" t="b">
        <f>IF(ISNUMBER(BQ62), IF(BS62=$H62,IF(BQ62=$F62,IF(BR62=$G62,2,1),1),0))</f>
        <v>0</v>
      </c>
      <c r="BU62" s="48"/>
      <c r="BV62" s="49"/>
      <c r="BW62" s="50" t="str">
        <f t="shared" si="48"/>
        <v>X</v>
      </c>
      <c r="BX62" s="51" t="b">
        <f>IF(ISNUMBER(BU62), IF(BW62=$H62,IF(BU62=$F62,IF(BV62=$G62,2,1),1),0))</f>
        <v>0</v>
      </c>
      <c r="BY62" s="48"/>
      <c r="BZ62" s="49"/>
      <c r="CA62" s="50" t="str">
        <f t="shared" si="49"/>
        <v>X</v>
      </c>
      <c r="CB62" s="51" t="b">
        <f>IF(ISNUMBER(BY62), IF(CA62=$H62,IF(BY62=$F62,IF(BZ62=$G62,2,1),1),0))</f>
        <v>0</v>
      </c>
      <c r="CC62" s="48"/>
      <c r="CD62" s="49"/>
      <c r="CE62" s="50" t="str">
        <f t="shared" si="50"/>
        <v>X</v>
      </c>
      <c r="CF62" s="51" t="b">
        <f>IF(ISNUMBER(CC62), IF(CE62=$H62,IF(CC62=$F62,IF(CD62=$G62,2,1),1),0))</f>
        <v>0</v>
      </c>
      <c r="CG62" s="48"/>
      <c r="CH62" s="49"/>
      <c r="CI62" s="50" t="str">
        <f t="shared" si="51"/>
        <v>X</v>
      </c>
      <c r="CJ62" s="51" t="b">
        <f>IF(ISNUMBER(CG62), IF(CI62=$H62,IF(CG62=$F62,IF(CH62=$G62,2,1),1),0))</f>
        <v>0</v>
      </c>
      <c r="CK62" s="48"/>
      <c r="CL62" s="49"/>
      <c r="CM62" s="50" t="str">
        <f t="shared" si="52"/>
        <v>X</v>
      </c>
      <c r="CN62" s="51" t="b">
        <f>IF(ISNUMBER(CK62), IF(CM62=$H62,IF(CK62=$F62,IF(CL62=$G62,2,1),1),0))</f>
        <v>0</v>
      </c>
      <c r="CO62" s="48"/>
      <c r="CP62" s="49"/>
      <c r="CQ62" s="50" t="str">
        <f t="shared" si="53"/>
        <v>X</v>
      </c>
      <c r="CR62" s="51" t="b">
        <f>IF(ISNUMBER(CO62), IF(CQ62=$H62,IF(CO62=$F62,IF(CP62=$G62,2,1),1),0))</f>
        <v>0</v>
      </c>
      <c r="CS62" s="48"/>
      <c r="CT62" s="49"/>
      <c r="CU62" s="50" t="str">
        <f t="shared" si="54"/>
        <v>X</v>
      </c>
      <c r="CV62" s="51" t="b">
        <f>IF(ISNUMBER(CS62), IF(CU62=$H62,IF(CS62=$F62,IF(CT62=$G62,2,1),1),0))</f>
        <v>0</v>
      </c>
      <c r="CW62" s="48"/>
      <c r="CX62" s="49"/>
      <c r="CY62" s="50" t="str">
        <f t="shared" si="55"/>
        <v>X</v>
      </c>
      <c r="CZ62" s="51" t="b">
        <f>IF(ISNUMBER(CW62), IF(CY62=$H62,IF(CW62=$F62,IF(CX62=$G62,2,1),1),0))</f>
        <v>0</v>
      </c>
      <c r="DA62" s="48"/>
      <c r="DB62" s="49"/>
      <c r="DC62" s="50" t="str">
        <f t="shared" si="56"/>
        <v>X</v>
      </c>
      <c r="DD62" s="51" t="b">
        <f>IF(ISNUMBER(DA62), IF(DC62=$H62,IF(DA62=$F62,IF(DB62=$G62,2,1),1),0))</f>
        <v>0</v>
      </c>
      <c r="DE62" s="48"/>
      <c r="DF62" s="49"/>
      <c r="DG62" s="50" t="str">
        <f t="shared" si="57"/>
        <v>X</v>
      </c>
      <c r="DH62" s="51" t="b">
        <f>IF(ISNUMBER(DE62), IF(DG62=$H62,IF(DE62=$F62,IF(DF62=$G62,2,1),1),0))</f>
        <v>0</v>
      </c>
      <c r="DI62" s="48"/>
      <c r="DJ62" s="49"/>
      <c r="DK62" s="50" t="str">
        <f t="shared" si="58"/>
        <v>X</v>
      </c>
      <c r="DL62" s="51" t="b">
        <f>IF(ISNUMBER(DI62), IF(DK62=$H62,IF(DI62=$F62,IF(DJ62=$G62,2,1),1),0))</f>
        <v>0</v>
      </c>
      <c r="DM62" s="48"/>
      <c r="DN62" s="49"/>
      <c r="DO62" s="50" t="str">
        <f t="shared" si="29"/>
        <v>X</v>
      </c>
      <c r="DP62" s="51" t="b">
        <f>IF(ISNUMBER(DM62), IF(DO62=$H62,IF(DM62=$F62,IF(DN62=$G62,2,1),1),0))</f>
        <v>0</v>
      </c>
    </row>
    <row r="63" spans="1:120" s="25" customFormat="1" ht="13" customHeight="1" thickBot="1">
      <c r="A63" s="52"/>
      <c r="B63" s="53"/>
      <c r="C63" s="54"/>
      <c r="D63" s="55" t="s">
        <v>144</v>
      </c>
      <c r="E63" s="33">
        <f t="shared" si="30"/>
        <v>0</v>
      </c>
      <c r="F63" s="56"/>
      <c r="G63" s="56"/>
      <c r="H63" s="57" t="b">
        <f t="shared" si="31"/>
        <v>0</v>
      </c>
      <c r="I63" s="58">
        <f>SUM(I60:I62)</f>
        <v>0</v>
      </c>
      <c r="J63" s="59">
        <f>SUM(J60:J62)</f>
        <v>0</v>
      </c>
      <c r="K63" s="59" t="str">
        <f t="shared" si="32"/>
        <v>X</v>
      </c>
      <c r="L63" s="60">
        <f>IF($H63=K63,SUM(L60:L62)+1,SUM(L60:L62))</f>
        <v>0</v>
      </c>
      <c r="M63" s="58">
        <f>SUM(M60:M62)</f>
        <v>0</v>
      </c>
      <c r="N63" s="59">
        <f>SUM(N60:N62)</f>
        <v>0</v>
      </c>
      <c r="O63" s="59" t="str">
        <f t="shared" si="33"/>
        <v>X</v>
      </c>
      <c r="P63" s="60">
        <f>IF($H63=O63,SUM(P60:P62)+1,SUM(P60:P62))</f>
        <v>0</v>
      </c>
      <c r="Q63" s="58">
        <f>SUM(Q60:Q62)</f>
        <v>0</v>
      </c>
      <c r="R63" s="59">
        <f>SUM(R60:R62)</f>
        <v>0</v>
      </c>
      <c r="S63" s="59" t="str">
        <f t="shared" si="34"/>
        <v>X</v>
      </c>
      <c r="T63" s="60">
        <f>IF($H63=S63,SUM(T60:T62)+1,SUM(T60:T62))</f>
        <v>0</v>
      </c>
      <c r="U63" s="58">
        <f>SUM(U60:U62)</f>
        <v>0</v>
      </c>
      <c r="V63" s="59">
        <f>SUM(V60:V62)</f>
        <v>0</v>
      </c>
      <c r="W63" s="59" t="str">
        <f t="shared" si="35"/>
        <v>X</v>
      </c>
      <c r="X63" s="60">
        <f>IF($H63=W63,SUM(X60:X62)+1,SUM(X60:X62))</f>
        <v>0</v>
      </c>
      <c r="Y63" s="58">
        <f>SUM(Y60:Y62)</f>
        <v>0</v>
      </c>
      <c r="Z63" s="59">
        <f>SUM(Z60:Z62)</f>
        <v>0</v>
      </c>
      <c r="AA63" s="59" t="str">
        <f t="shared" si="36"/>
        <v>X</v>
      </c>
      <c r="AB63" s="60">
        <f>IF($H63=AA63,SUM(AB60:AB62)+1,SUM(AB60:AB62))</f>
        <v>0</v>
      </c>
      <c r="AC63" s="58">
        <f>SUM(AC60:AC62)</f>
        <v>0</v>
      </c>
      <c r="AD63" s="59">
        <f>SUM(AD60:AD62)</f>
        <v>0</v>
      </c>
      <c r="AE63" s="59" t="str">
        <f t="shared" si="37"/>
        <v>X</v>
      </c>
      <c r="AF63" s="60">
        <f>IF($H63=AE63,SUM(AF60:AF62)+1,SUM(AF60:AF62))</f>
        <v>0</v>
      </c>
      <c r="AG63" s="58">
        <f>SUM(AG60:AG62)</f>
        <v>0</v>
      </c>
      <c r="AH63" s="59">
        <f>SUM(AH60:AH62)</f>
        <v>0</v>
      </c>
      <c r="AI63" s="59" t="str">
        <f t="shared" si="38"/>
        <v>X</v>
      </c>
      <c r="AJ63" s="60">
        <f>IF($H63=AI63,SUM(AJ60:AJ62)+1,SUM(AJ60:AJ62))</f>
        <v>0</v>
      </c>
      <c r="AK63" s="58">
        <f>SUM(AK60:AK62)</f>
        <v>0</v>
      </c>
      <c r="AL63" s="59">
        <f>SUM(AL60:AL62)</f>
        <v>0</v>
      </c>
      <c r="AM63" s="59" t="str">
        <f t="shared" si="39"/>
        <v>X</v>
      </c>
      <c r="AN63" s="60">
        <f>IF($H63=AM63,SUM(AN60:AN62)+1,SUM(AN60:AN62))</f>
        <v>0</v>
      </c>
      <c r="AO63" s="58">
        <f>SUM(AO60:AO62)</f>
        <v>0</v>
      </c>
      <c r="AP63" s="59">
        <f>SUM(AP60:AP62)</f>
        <v>0</v>
      </c>
      <c r="AQ63" s="59" t="str">
        <f t="shared" si="40"/>
        <v>X</v>
      </c>
      <c r="AR63" s="60">
        <f>IF($H63=AQ63,SUM(AR60:AR62)+1,SUM(AR60:AR62))</f>
        <v>0</v>
      </c>
      <c r="AS63" s="58">
        <f>SUM(AS60:AS62)</f>
        <v>0</v>
      </c>
      <c r="AT63" s="59">
        <f>SUM(AT60:AT62)</f>
        <v>0</v>
      </c>
      <c r="AU63" s="59" t="str">
        <f t="shared" si="41"/>
        <v>X</v>
      </c>
      <c r="AV63" s="60">
        <f>IF($H63=AU63,SUM(AV60:AV62)+1,SUM(AV60:AV62))</f>
        <v>0</v>
      </c>
      <c r="AW63" s="58">
        <f>SUM(AW60:AW62)</f>
        <v>0</v>
      </c>
      <c r="AX63" s="59">
        <f>SUM(AX60:AX62)</f>
        <v>0</v>
      </c>
      <c r="AY63" s="59" t="str">
        <f t="shared" si="42"/>
        <v>X</v>
      </c>
      <c r="AZ63" s="60">
        <f>IF($H63=AY63,SUM(AZ60:AZ62)+1,SUM(AZ60:AZ62))</f>
        <v>0</v>
      </c>
      <c r="BA63" s="58">
        <f>SUM(BA60:BA62)</f>
        <v>0</v>
      </c>
      <c r="BB63" s="59">
        <f>SUM(BB60:BB62)</f>
        <v>0</v>
      </c>
      <c r="BC63" s="59" t="str">
        <f t="shared" si="43"/>
        <v>X</v>
      </c>
      <c r="BD63" s="60">
        <f>IF($H63=BC63,SUM(BD60:BD62)+1,SUM(BD60:BD62))</f>
        <v>0</v>
      </c>
      <c r="BE63" s="58">
        <f>SUM(BE60:BE62)</f>
        <v>0</v>
      </c>
      <c r="BF63" s="59">
        <f>SUM(BF60:BF62)</f>
        <v>0</v>
      </c>
      <c r="BG63" s="59" t="str">
        <f t="shared" si="44"/>
        <v>X</v>
      </c>
      <c r="BH63" s="60">
        <f>IF($H63=BG63,SUM(BH60:BH62)+1,SUM(BH60:BH62))</f>
        <v>0</v>
      </c>
      <c r="BI63" s="58">
        <f>SUM(BI60:BI62)</f>
        <v>0</v>
      </c>
      <c r="BJ63" s="59">
        <f>SUM(BJ60:BJ62)</f>
        <v>0</v>
      </c>
      <c r="BK63" s="59" t="str">
        <f t="shared" si="45"/>
        <v>X</v>
      </c>
      <c r="BL63" s="60">
        <f>IF($H63=BK63,SUM(BL60:BL62)+1,SUM(BL60:BL62))</f>
        <v>0</v>
      </c>
      <c r="BM63" s="58">
        <f>SUM(BM60:BM62)</f>
        <v>0</v>
      </c>
      <c r="BN63" s="59">
        <f>SUM(BN60:BN62)</f>
        <v>0</v>
      </c>
      <c r="BO63" s="59" t="str">
        <f t="shared" si="46"/>
        <v>X</v>
      </c>
      <c r="BP63" s="60">
        <f>IF($H63=BO63,SUM(BP60:BP62)+1,SUM(BP60:BP62))</f>
        <v>0</v>
      </c>
      <c r="BQ63" s="58">
        <f>SUM(BQ60:BQ62)</f>
        <v>0</v>
      </c>
      <c r="BR63" s="59">
        <f>SUM(BR60:BR62)</f>
        <v>0</v>
      </c>
      <c r="BS63" s="59" t="str">
        <f t="shared" si="47"/>
        <v>X</v>
      </c>
      <c r="BT63" s="60">
        <f>IF($H63=BS63,SUM(BT60:BT62)+1,SUM(BT60:BT62))</f>
        <v>0</v>
      </c>
      <c r="BU63" s="58">
        <f>SUM(BU60:BU62)</f>
        <v>0</v>
      </c>
      <c r="BV63" s="59">
        <f>SUM(BV60:BV62)</f>
        <v>0</v>
      </c>
      <c r="BW63" s="59" t="str">
        <f t="shared" si="48"/>
        <v>X</v>
      </c>
      <c r="BX63" s="60">
        <f>IF($H63=BW63,SUM(BX60:BX62)+1,SUM(BX60:BX62))</f>
        <v>0</v>
      </c>
      <c r="BY63" s="58">
        <f>SUM(BY60:BY62)</f>
        <v>0</v>
      </c>
      <c r="BZ63" s="59">
        <f>SUM(BZ60:BZ62)</f>
        <v>0</v>
      </c>
      <c r="CA63" s="59" t="str">
        <f t="shared" si="49"/>
        <v>X</v>
      </c>
      <c r="CB63" s="60">
        <f>IF($H63=CA63,SUM(CB60:CB62)+1,SUM(CB60:CB62))</f>
        <v>0</v>
      </c>
      <c r="CC63" s="58">
        <f>SUM(CC60:CC62)</f>
        <v>0</v>
      </c>
      <c r="CD63" s="59">
        <f>SUM(CD60:CD62)</f>
        <v>0</v>
      </c>
      <c r="CE63" s="59" t="str">
        <f t="shared" si="50"/>
        <v>X</v>
      </c>
      <c r="CF63" s="60">
        <f>IF($H63=CE63,SUM(CF60:CF62)+1,SUM(CF60:CF62))</f>
        <v>0</v>
      </c>
      <c r="CG63" s="58">
        <f>SUM(CG60:CG62)</f>
        <v>0</v>
      </c>
      <c r="CH63" s="59">
        <f>SUM(CH60:CH62)</f>
        <v>0</v>
      </c>
      <c r="CI63" s="59" t="str">
        <f t="shared" si="51"/>
        <v>X</v>
      </c>
      <c r="CJ63" s="60">
        <f>IF($H63=CI63,SUM(CJ60:CJ62)+1,SUM(CJ60:CJ62))</f>
        <v>0</v>
      </c>
      <c r="CK63" s="58">
        <f>SUM(CK60:CK62)</f>
        <v>0</v>
      </c>
      <c r="CL63" s="59">
        <f>SUM(CL60:CL62)</f>
        <v>0</v>
      </c>
      <c r="CM63" s="59" t="str">
        <f t="shared" si="52"/>
        <v>X</v>
      </c>
      <c r="CN63" s="60">
        <f>IF($H63=CM63,SUM(CN60:CN62)+1,SUM(CN60:CN62))</f>
        <v>0</v>
      </c>
      <c r="CO63" s="58">
        <f>SUM(CO60:CO62)</f>
        <v>0</v>
      </c>
      <c r="CP63" s="59">
        <f>SUM(CP60:CP62)</f>
        <v>0</v>
      </c>
      <c r="CQ63" s="59" t="str">
        <f t="shared" si="53"/>
        <v>X</v>
      </c>
      <c r="CR63" s="60">
        <f>IF($H63=CQ63,SUM(CR60:CR62)+1,SUM(CR60:CR62))</f>
        <v>0</v>
      </c>
      <c r="CS63" s="58">
        <f>SUM(CS60:CS62)</f>
        <v>0</v>
      </c>
      <c r="CT63" s="59">
        <f>SUM(CT60:CT62)</f>
        <v>0</v>
      </c>
      <c r="CU63" s="59" t="str">
        <f t="shared" si="54"/>
        <v>X</v>
      </c>
      <c r="CV63" s="60">
        <f>IF($H63=CU63,SUM(CV60:CV62)+1,SUM(CV60:CV62))</f>
        <v>0</v>
      </c>
      <c r="CW63" s="58">
        <f>SUM(CW60:CW62)</f>
        <v>0</v>
      </c>
      <c r="CX63" s="59">
        <f>SUM(CX60:CX62)</f>
        <v>0</v>
      </c>
      <c r="CY63" s="59" t="str">
        <f t="shared" si="55"/>
        <v>X</v>
      </c>
      <c r="CZ63" s="60">
        <f>IF($H63=CY63,SUM(CZ60:CZ62)+1,SUM(CZ60:CZ62))</f>
        <v>0</v>
      </c>
      <c r="DA63" s="58">
        <f>SUM(DA60:DA62)</f>
        <v>0</v>
      </c>
      <c r="DB63" s="59">
        <f>SUM(DB60:DB62)</f>
        <v>0</v>
      </c>
      <c r="DC63" s="59" t="str">
        <f t="shared" si="56"/>
        <v>X</v>
      </c>
      <c r="DD63" s="60">
        <f>IF($H63=DC63,SUM(DD60:DD62)+1,SUM(DD60:DD62))</f>
        <v>0</v>
      </c>
      <c r="DE63" s="58">
        <f>SUM(DE60:DE62)</f>
        <v>0</v>
      </c>
      <c r="DF63" s="59">
        <f>SUM(DF60:DF62)</f>
        <v>0</v>
      </c>
      <c r="DG63" s="59" t="str">
        <f t="shared" si="57"/>
        <v>X</v>
      </c>
      <c r="DH63" s="60">
        <f>IF($H63=DG63,SUM(DH60:DH62)+1,SUM(DH60:DH62))</f>
        <v>0</v>
      </c>
      <c r="DI63" s="58">
        <f>SUM(DI60:DI62)</f>
        <v>0</v>
      </c>
      <c r="DJ63" s="59">
        <f>SUM(DJ60:DJ62)</f>
        <v>0</v>
      </c>
      <c r="DK63" s="59" t="str">
        <f t="shared" si="58"/>
        <v>X</v>
      </c>
      <c r="DL63" s="60">
        <f>IF($H63=DK63,SUM(DL60:DL62)+1,SUM(DL60:DL62))</f>
        <v>0</v>
      </c>
      <c r="DM63" s="58">
        <f>SUM(DM60:DM62)</f>
        <v>0</v>
      </c>
      <c r="DN63" s="59">
        <f>SUM(DN60:DN62)</f>
        <v>0</v>
      </c>
      <c r="DO63" s="59" t="str">
        <f t="shared" si="29"/>
        <v>X</v>
      </c>
      <c r="DP63" s="60">
        <f>IF($H63=DO63,SUM(DP60:DP62)+1,SUM(DP60:DP62))</f>
        <v>0</v>
      </c>
    </row>
    <row r="64" spans="1:120" ht="13" customHeight="1" thickBot="1">
      <c r="A64" s="113">
        <f>A60+1</f>
        <v>43451</v>
      </c>
      <c r="B64" s="30" t="s">
        <v>148</v>
      </c>
      <c r="C64" s="31"/>
      <c r="D64" s="32" t="s">
        <v>141</v>
      </c>
      <c r="E64" s="33">
        <f t="shared" si="30"/>
        <v>0</v>
      </c>
      <c r="F64" s="34"/>
      <c r="G64" s="35"/>
      <c r="H64" s="36" t="b">
        <f t="shared" si="31"/>
        <v>0</v>
      </c>
      <c r="I64" s="37"/>
      <c r="J64" s="38"/>
      <c r="K64" s="39" t="str">
        <f t="shared" si="32"/>
        <v>X</v>
      </c>
      <c r="L64" s="40" t="b">
        <f>IF(ISNUMBER(I64), IF(K64=$H64,IF(I64=$F64,IF(J64=$G64,IF($F64-$G64&gt;=3,6,IF($G64-$F64&gt;=3,6,IF($F64+$G64&gt;=4,6,5))),3),3),0))</f>
        <v>0</v>
      </c>
      <c r="M64" s="37"/>
      <c r="N64" s="38"/>
      <c r="O64" s="39" t="str">
        <f t="shared" si="33"/>
        <v>X</v>
      </c>
      <c r="P64" s="40" t="b">
        <f>IF(ISNUMBER(M64), IF(O64=$H64,IF(M64=$F64,IF(N64=$G64,IF($F64-$G64&gt;=3,6,IF($G64-$F64&gt;=3,6,IF($F64+$G64&gt;=4,6,5))),3),3),0))</f>
        <v>0</v>
      </c>
      <c r="Q64" s="37"/>
      <c r="R64" s="38"/>
      <c r="S64" s="39" t="str">
        <f t="shared" si="34"/>
        <v>X</v>
      </c>
      <c r="T64" s="40" t="b">
        <f>IF(ISNUMBER(Q64), IF(S64=$H64,IF(Q64=$F64,IF(R64=$G64,IF($F64-$G64&gt;=3,6,IF($G64-$F64&gt;=3,6,IF($F64+$G64&gt;=4,6,5))),3),3),0))</f>
        <v>0</v>
      </c>
      <c r="U64" s="37"/>
      <c r="V64" s="38"/>
      <c r="W64" s="39" t="str">
        <f t="shared" si="35"/>
        <v>X</v>
      </c>
      <c r="X64" s="40" t="b">
        <f>IF(ISNUMBER(U64), IF(W64=$H64,IF(U64=$F64,IF(V64=$G64,IF($F64-$G64&gt;=3,6,IF($G64-$F64&gt;=3,6,IF($F64+$G64&gt;=4,6,5))),3),3),0))</f>
        <v>0</v>
      </c>
      <c r="Y64" s="37"/>
      <c r="Z64" s="38"/>
      <c r="AA64" s="39" t="str">
        <f t="shared" si="36"/>
        <v>X</v>
      </c>
      <c r="AB64" s="40" t="b">
        <f>IF(ISNUMBER(Y64), IF(AA64=$H64,IF(Y64=$F64,IF(Z64=$G64,IF($F64-$G64&gt;=3,6,IF($G64-$F64&gt;=3,6,IF($F64+$G64&gt;=4,6,5))),3),3),0))</f>
        <v>0</v>
      </c>
      <c r="AC64" s="37"/>
      <c r="AD64" s="38"/>
      <c r="AE64" s="39" t="str">
        <f t="shared" si="37"/>
        <v>X</v>
      </c>
      <c r="AF64" s="40" t="b">
        <f>IF(ISNUMBER(AC64), IF(AE64=$H64,IF(AC64=$F64,IF(AD64=$G64,IF($F64-$G64&gt;=3,6,IF($G64-$F64&gt;=3,6,IF($F64+$G64&gt;=4,6,5))),3),3),0))</f>
        <v>0</v>
      </c>
      <c r="AG64" s="37"/>
      <c r="AH64" s="38"/>
      <c r="AI64" s="39" t="str">
        <f t="shared" si="38"/>
        <v>X</v>
      </c>
      <c r="AJ64" s="40" t="b">
        <f>IF(ISNUMBER(AG64), IF(AI64=$H64,IF(AG64=$F64,IF(AH64=$G64,IF($F64-$G64&gt;=3,6,IF($G64-$F64&gt;=3,6,IF($F64+$G64&gt;=4,6,5))),3),3),0))</f>
        <v>0</v>
      </c>
      <c r="AK64" s="37"/>
      <c r="AL64" s="38"/>
      <c r="AM64" s="39" t="str">
        <f t="shared" si="39"/>
        <v>X</v>
      </c>
      <c r="AN64" s="40" t="b">
        <f>IF(ISNUMBER(AK64), IF(AM64=$H64,IF(AK64=$F64,IF(AL64=$G64,IF($F64-$G64&gt;=3,6,IF($G64-$F64&gt;=3,6,IF($F64+$G64&gt;=4,6,5))),3),3),0))</f>
        <v>0</v>
      </c>
      <c r="AO64" s="37"/>
      <c r="AP64" s="38"/>
      <c r="AQ64" s="39" t="str">
        <f t="shared" si="40"/>
        <v>X</v>
      </c>
      <c r="AR64" s="40" t="b">
        <f>IF(ISNUMBER(AO64), IF(AQ64=$H64,IF(AO64=$F64,IF(AP64=$G64,IF($F64-$G64&gt;=3,6,IF($G64-$F64&gt;=3,6,IF($F64+$G64&gt;=4,6,5))),3),3),0))</f>
        <v>0</v>
      </c>
      <c r="AS64" s="37"/>
      <c r="AT64" s="38"/>
      <c r="AU64" s="39" t="str">
        <f t="shared" si="41"/>
        <v>X</v>
      </c>
      <c r="AV64" s="40" t="b">
        <f>IF(ISNUMBER(AS64), IF(AU64=$H64,IF(AS64=$F64,IF(AT64=$G64,IF($F64-$G64&gt;=3,6,IF($G64-$F64&gt;=3,6,IF($F64+$G64&gt;=4,6,5))),3),3),0))</f>
        <v>0</v>
      </c>
      <c r="AW64" s="37"/>
      <c r="AX64" s="38"/>
      <c r="AY64" s="39" t="str">
        <f t="shared" si="42"/>
        <v>X</v>
      </c>
      <c r="AZ64" s="40" t="b">
        <f>IF(ISNUMBER(AW64), IF(AY64=$H64,IF(AW64=$F64,IF(AX64=$G64,IF($F64-$G64&gt;=3,6,IF($G64-$F64&gt;=3,6,IF($F64+$G64&gt;=4,6,5))),3),3),0))</f>
        <v>0</v>
      </c>
      <c r="BA64" s="37"/>
      <c r="BB64" s="38"/>
      <c r="BC64" s="39" t="str">
        <f t="shared" si="43"/>
        <v>X</v>
      </c>
      <c r="BD64" s="40" t="b">
        <f>IF(ISNUMBER(BA64), IF(BC64=$H64,IF(BA64=$F64,IF(BB64=$G64,IF($F64-$G64&gt;=3,6,IF($G64-$F64&gt;=3,6,IF($F64+$G64&gt;=4,6,5))),3),3),0))</f>
        <v>0</v>
      </c>
      <c r="BE64" s="37"/>
      <c r="BF64" s="38"/>
      <c r="BG64" s="39" t="str">
        <f t="shared" si="44"/>
        <v>X</v>
      </c>
      <c r="BH64" s="40" t="b">
        <f>IF(ISNUMBER(BE64), IF(BG64=$H64,IF(BE64=$F64,IF(BF64=$G64,IF($F64-$G64&gt;=3,6,IF($G64-$F64&gt;=3,6,IF($F64+$G64&gt;=4,6,5))),3),3),0))</f>
        <v>0</v>
      </c>
      <c r="BI64" s="37"/>
      <c r="BJ64" s="38"/>
      <c r="BK64" s="39" t="str">
        <f t="shared" si="45"/>
        <v>X</v>
      </c>
      <c r="BL64" s="40" t="b">
        <f>IF(ISNUMBER(BI64), IF(BK64=$H64,IF(BI64=$F64,IF(BJ64=$G64,IF($F64-$G64&gt;=3,6,IF($G64-$F64&gt;=3,6,IF($F64+$G64&gt;=4,6,5))),3),3),0))</f>
        <v>0</v>
      </c>
      <c r="BM64" s="37"/>
      <c r="BN64" s="38"/>
      <c r="BO64" s="39" t="str">
        <f t="shared" si="46"/>
        <v>X</v>
      </c>
      <c r="BP64" s="40" t="b">
        <f>IF(ISNUMBER(BM64), IF(BO64=$H64,IF(BM64=$F64,IF(BN64=$G64,IF($F64-$G64&gt;=3,6,IF($G64-$F64&gt;=3,6,IF($F64+$G64&gt;=4,6,5))),3),3),0))</f>
        <v>0</v>
      </c>
      <c r="BQ64" s="37"/>
      <c r="BR64" s="38"/>
      <c r="BS64" s="39" t="str">
        <f t="shared" si="47"/>
        <v>X</v>
      </c>
      <c r="BT64" s="40" t="b">
        <f>IF(ISNUMBER(BQ64), IF(BS64=$H64,IF(BQ64=$F64,IF(BR64=$G64,IF($F64-$G64&gt;=3,6,IF($G64-$F64&gt;=3,6,IF($F64+$G64&gt;=4,6,5))),3),3),0))</f>
        <v>0</v>
      </c>
      <c r="BU64" s="37"/>
      <c r="BV64" s="38"/>
      <c r="BW64" s="39" t="str">
        <f t="shared" si="48"/>
        <v>X</v>
      </c>
      <c r="BX64" s="40" t="b">
        <f>IF(ISNUMBER(BU64), IF(BW64=$H64,IF(BU64=$F64,IF(BV64=$G64,IF($F64-$G64&gt;=3,6,IF($G64-$F64&gt;=3,6,IF($F64+$G64&gt;=4,6,5))),3),3),0))</f>
        <v>0</v>
      </c>
      <c r="BY64" s="37"/>
      <c r="BZ64" s="38"/>
      <c r="CA64" s="39" t="str">
        <f t="shared" si="49"/>
        <v>X</v>
      </c>
      <c r="CB64" s="40" t="b">
        <f>IF(ISNUMBER(BY64), IF(CA64=$H64,IF(BY64=$F64,IF(BZ64=$G64,IF($F64-$G64&gt;=3,6,IF($G64-$F64&gt;=3,6,IF($F64+$G64&gt;=4,6,5))),3),3),0))</f>
        <v>0</v>
      </c>
      <c r="CC64" s="37"/>
      <c r="CD64" s="38"/>
      <c r="CE64" s="39" t="str">
        <f t="shared" si="50"/>
        <v>X</v>
      </c>
      <c r="CF64" s="40" t="b">
        <f>IF(ISNUMBER(CC64), IF(CE64=$H64,IF(CC64=$F64,IF(CD64=$G64,IF($F64-$G64&gt;=3,6,IF($G64-$F64&gt;=3,6,IF($F64+$G64&gt;=4,6,5))),3),3),0))</f>
        <v>0</v>
      </c>
      <c r="CG64" s="37"/>
      <c r="CH64" s="38"/>
      <c r="CI64" s="39" t="str">
        <f t="shared" si="51"/>
        <v>X</v>
      </c>
      <c r="CJ64" s="40" t="b">
        <f>IF(ISNUMBER(CG64), IF(CI64=$H64,IF(CG64=$F64,IF(CH64=$G64,IF($F64-$G64&gt;=3,6,IF($G64-$F64&gt;=3,6,IF($F64+$G64&gt;=4,6,5))),3),3),0))</f>
        <v>0</v>
      </c>
      <c r="CK64" s="37"/>
      <c r="CL64" s="38"/>
      <c r="CM64" s="39" t="str">
        <f t="shared" si="52"/>
        <v>X</v>
      </c>
      <c r="CN64" s="40" t="b">
        <f>IF(ISNUMBER(CK64), IF(CM64=$H64,IF(CK64=$F64,IF(CL64=$G64,IF($F64-$G64&gt;=3,6,IF($G64-$F64&gt;=3,6,IF($F64+$G64&gt;=4,6,5))),3),3),0))</f>
        <v>0</v>
      </c>
      <c r="CO64" s="37"/>
      <c r="CP64" s="38"/>
      <c r="CQ64" s="39" t="str">
        <f t="shared" si="53"/>
        <v>X</v>
      </c>
      <c r="CR64" s="40" t="b">
        <f>IF(ISNUMBER(CO64), IF(CQ64=$H64,IF(CO64=$F64,IF(CP64=$G64,IF($F64-$G64&gt;=3,6,IF($G64-$F64&gt;=3,6,IF($F64+$G64&gt;=4,6,5))),3),3),0))</f>
        <v>0</v>
      </c>
      <c r="CS64" s="37"/>
      <c r="CT64" s="38"/>
      <c r="CU64" s="39" t="str">
        <f t="shared" si="54"/>
        <v>X</v>
      </c>
      <c r="CV64" s="40" t="b">
        <f>IF(ISNUMBER(CS64), IF(CU64=$H64,IF(CS64=$F64,IF(CT64=$G64,IF($F64-$G64&gt;=3,6,IF($G64-$F64&gt;=3,6,IF($F64+$G64&gt;=4,6,5))),3),3),0))</f>
        <v>0</v>
      </c>
      <c r="CW64" s="37"/>
      <c r="CX64" s="38"/>
      <c r="CY64" s="39" t="str">
        <f t="shared" si="55"/>
        <v>X</v>
      </c>
      <c r="CZ64" s="40" t="b">
        <f>IF(ISNUMBER(CW64), IF(CY64=$H64,IF(CW64=$F64,IF(CX64=$G64,IF($F64-$G64&gt;=3,6,IF($G64-$F64&gt;=3,6,IF($F64+$G64&gt;=4,6,5))),3),3),0))</f>
        <v>0</v>
      </c>
      <c r="DA64" s="37"/>
      <c r="DB64" s="38"/>
      <c r="DC64" s="39" t="str">
        <f t="shared" si="56"/>
        <v>X</v>
      </c>
      <c r="DD64" s="40" t="b">
        <f>IF(ISNUMBER(DA64), IF(DC64=$H64,IF(DA64=$F64,IF(DB64=$G64,IF($F64-$G64&gt;=3,6,IF($G64-$F64&gt;=3,6,IF($F64+$G64&gt;=4,6,5))),3),3),0))</f>
        <v>0</v>
      </c>
      <c r="DE64" s="37"/>
      <c r="DF64" s="38"/>
      <c r="DG64" s="39" t="str">
        <f t="shared" si="57"/>
        <v>X</v>
      </c>
      <c r="DH64" s="40" t="b">
        <f>IF(ISNUMBER(DE64), IF(DG64=$H64,IF(DE64=$F64,IF(DF64=$G64,IF($F64-$G64&gt;=3,6,IF($G64-$F64&gt;=3,6,IF($F64+$G64&gt;=4,6,5))),3),3),0))</f>
        <v>0</v>
      </c>
      <c r="DI64" s="37"/>
      <c r="DJ64" s="38"/>
      <c r="DK64" s="39" t="str">
        <f t="shared" si="58"/>
        <v>X</v>
      </c>
      <c r="DL64" s="40" t="b">
        <f>IF(ISNUMBER(DI64), IF(DK64=$H64,IF(DI64=$F64,IF(DJ64=$G64,IF($F64-$G64&gt;=3,6,IF($G64-$F64&gt;=3,6,IF($F64+$G64&gt;=4,6,5))),3),3),0))</f>
        <v>0</v>
      </c>
      <c r="DM64" s="37"/>
      <c r="DN64" s="38"/>
      <c r="DO64" s="39" t="str">
        <f t="shared" si="29"/>
        <v>X</v>
      </c>
      <c r="DP64" s="40" t="b">
        <f>IF(ISNUMBER(DM64), IF(DO64=$H64,IF(DM64=$F64,IF(DN64=$G64,IF($F64-$G64&gt;=3,6,IF($G64-$F64&gt;=3,6,IF($F64+$G64&gt;=4,6,5))),3),3),0))</f>
        <v>0</v>
      </c>
    </row>
    <row r="65" spans="1:120" ht="13" customHeight="1" thickBot="1">
      <c r="A65" s="41"/>
      <c r="B65" s="42"/>
      <c r="C65" s="43"/>
      <c r="D65" s="44" t="s">
        <v>142</v>
      </c>
      <c r="E65" s="33">
        <f t="shared" si="30"/>
        <v>0</v>
      </c>
      <c r="F65" s="45"/>
      <c r="G65" s="46"/>
      <c r="H65" s="47" t="b">
        <f t="shared" si="31"/>
        <v>0</v>
      </c>
      <c r="I65" s="48"/>
      <c r="J65" s="49"/>
      <c r="K65" s="50" t="str">
        <f t="shared" si="32"/>
        <v>X</v>
      </c>
      <c r="L65" s="51" t="b">
        <f>IF(ISNUMBER(I65), IF(K65=$H65,IF(I65=$F65,IF(J65=$G65,2,1),1),0))</f>
        <v>0</v>
      </c>
      <c r="M65" s="48"/>
      <c r="N65" s="49"/>
      <c r="O65" s="50" t="str">
        <f t="shared" si="33"/>
        <v>X</v>
      </c>
      <c r="P65" s="51" t="b">
        <f>IF(ISNUMBER(M65), IF(O65=$H65,IF(M65=$F65,IF(N65=$G65,2,1),1),0))</f>
        <v>0</v>
      </c>
      <c r="Q65" s="48"/>
      <c r="R65" s="49"/>
      <c r="S65" s="50" t="str">
        <f t="shared" si="34"/>
        <v>X</v>
      </c>
      <c r="T65" s="51" t="b">
        <f>IF(ISNUMBER(Q65), IF(S65=$H65,IF(Q65=$F65,IF(R65=$G65,2,1),1),0))</f>
        <v>0</v>
      </c>
      <c r="U65" s="48"/>
      <c r="V65" s="49"/>
      <c r="W65" s="50" t="str">
        <f t="shared" si="35"/>
        <v>X</v>
      </c>
      <c r="X65" s="51" t="b">
        <f>IF(ISNUMBER(U65), IF(W65=$H65,IF(U65=$F65,IF(V65=$G65,2,1),1),0))</f>
        <v>0</v>
      </c>
      <c r="Y65" s="48"/>
      <c r="Z65" s="49"/>
      <c r="AA65" s="50" t="str">
        <f t="shared" si="36"/>
        <v>X</v>
      </c>
      <c r="AB65" s="51" t="b">
        <f>IF(ISNUMBER(Y65), IF(AA65=$H65,IF(Y65=$F65,IF(Z65=$G65,2,1),1),0))</f>
        <v>0</v>
      </c>
      <c r="AC65" s="48"/>
      <c r="AD65" s="49"/>
      <c r="AE65" s="50" t="str">
        <f t="shared" si="37"/>
        <v>X</v>
      </c>
      <c r="AF65" s="51" t="b">
        <f>IF(ISNUMBER(AC65), IF(AE65=$H65,IF(AC65=$F65,IF(AD65=$G65,2,1),1),0))</f>
        <v>0</v>
      </c>
      <c r="AG65" s="48"/>
      <c r="AH65" s="49"/>
      <c r="AI65" s="50" t="str">
        <f t="shared" si="38"/>
        <v>X</v>
      </c>
      <c r="AJ65" s="51" t="b">
        <f>IF(ISNUMBER(AG65), IF(AI65=$H65,IF(AG65=$F65,IF(AH65=$G65,2,1),1),0))</f>
        <v>0</v>
      </c>
      <c r="AK65" s="48"/>
      <c r="AL65" s="49"/>
      <c r="AM65" s="50" t="str">
        <f t="shared" si="39"/>
        <v>X</v>
      </c>
      <c r="AN65" s="51" t="b">
        <f>IF(ISNUMBER(AK65), IF(AM65=$H65,IF(AK65=$F65,IF(AL65=$G65,2,1),1),0))</f>
        <v>0</v>
      </c>
      <c r="AO65" s="48"/>
      <c r="AP65" s="49"/>
      <c r="AQ65" s="50" t="str">
        <f t="shared" si="40"/>
        <v>X</v>
      </c>
      <c r="AR65" s="51" t="b">
        <f>IF(ISNUMBER(AO65), IF(AQ65=$H65,IF(AO65=$F65,IF(AP65=$G65,2,1),1),0))</f>
        <v>0</v>
      </c>
      <c r="AS65" s="48"/>
      <c r="AT65" s="49"/>
      <c r="AU65" s="50" t="str">
        <f t="shared" si="41"/>
        <v>X</v>
      </c>
      <c r="AV65" s="51" t="b">
        <f>IF(ISNUMBER(AS65), IF(AU65=$H65,IF(AS65=$F65,IF(AT65=$G65,2,1),1),0))</f>
        <v>0</v>
      </c>
      <c r="AW65" s="48"/>
      <c r="AX65" s="49"/>
      <c r="AY65" s="50" t="str">
        <f t="shared" si="42"/>
        <v>X</v>
      </c>
      <c r="AZ65" s="51" t="b">
        <f>IF(ISNUMBER(AW65), IF(AY65=$H65,IF(AW65=$F65,IF(AX65=$G65,2,1),1),0))</f>
        <v>0</v>
      </c>
      <c r="BA65" s="48"/>
      <c r="BB65" s="49"/>
      <c r="BC65" s="50" t="str">
        <f t="shared" si="43"/>
        <v>X</v>
      </c>
      <c r="BD65" s="51" t="b">
        <f>IF(ISNUMBER(BA65), IF(BC65=$H65,IF(BA65=$F65,IF(BB65=$G65,2,1),1),0))</f>
        <v>0</v>
      </c>
      <c r="BE65" s="48"/>
      <c r="BF65" s="49"/>
      <c r="BG65" s="50" t="str">
        <f t="shared" si="44"/>
        <v>X</v>
      </c>
      <c r="BH65" s="51" t="b">
        <f>IF(ISNUMBER(BE65), IF(BG65=$H65,IF(BE65=$F65,IF(BF65=$G65,2,1),1),0))</f>
        <v>0</v>
      </c>
      <c r="BI65" s="48"/>
      <c r="BJ65" s="49"/>
      <c r="BK65" s="50" t="str">
        <f t="shared" si="45"/>
        <v>X</v>
      </c>
      <c r="BL65" s="51" t="b">
        <f>IF(ISNUMBER(BI65), IF(BK65=$H65,IF(BI65=$F65,IF(BJ65=$G65,2,1),1),0))</f>
        <v>0</v>
      </c>
      <c r="BM65" s="48"/>
      <c r="BN65" s="49"/>
      <c r="BO65" s="50" t="str">
        <f t="shared" si="46"/>
        <v>X</v>
      </c>
      <c r="BP65" s="51" t="b">
        <f>IF(ISNUMBER(BM65), IF(BO65=$H65,IF(BM65=$F65,IF(BN65=$G65,2,1),1),0))</f>
        <v>0</v>
      </c>
      <c r="BQ65" s="48"/>
      <c r="BR65" s="49"/>
      <c r="BS65" s="50" t="str">
        <f t="shared" si="47"/>
        <v>X</v>
      </c>
      <c r="BT65" s="51" t="b">
        <f>IF(ISNUMBER(BQ65), IF(BS65=$H65,IF(BQ65=$F65,IF(BR65=$G65,2,1),1),0))</f>
        <v>0</v>
      </c>
      <c r="BU65" s="48"/>
      <c r="BV65" s="49"/>
      <c r="BW65" s="50" t="str">
        <f t="shared" si="48"/>
        <v>X</v>
      </c>
      <c r="BX65" s="51" t="b">
        <f>IF(ISNUMBER(BU65), IF(BW65=$H65,IF(BU65=$F65,IF(BV65=$G65,2,1),1),0))</f>
        <v>0</v>
      </c>
      <c r="BY65" s="48"/>
      <c r="BZ65" s="49"/>
      <c r="CA65" s="50" t="str">
        <f t="shared" si="49"/>
        <v>X</v>
      </c>
      <c r="CB65" s="51" t="b">
        <f>IF(ISNUMBER(BY65), IF(CA65=$H65,IF(BY65=$F65,IF(BZ65=$G65,2,1),1),0))</f>
        <v>0</v>
      </c>
      <c r="CC65" s="48"/>
      <c r="CD65" s="49"/>
      <c r="CE65" s="50" t="str">
        <f t="shared" si="50"/>
        <v>X</v>
      </c>
      <c r="CF65" s="51" t="b">
        <f>IF(ISNUMBER(CC65), IF(CE65=$H65,IF(CC65=$F65,IF(CD65=$G65,2,1),1),0))</f>
        <v>0</v>
      </c>
      <c r="CG65" s="48"/>
      <c r="CH65" s="49"/>
      <c r="CI65" s="50" t="str">
        <f t="shared" si="51"/>
        <v>X</v>
      </c>
      <c r="CJ65" s="51" t="b">
        <f>IF(ISNUMBER(CG65), IF(CI65=$H65,IF(CG65=$F65,IF(CH65=$G65,2,1),1),0))</f>
        <v>0</v>
      </c>
      <c r="CK65" s="48"/>
      <c r="CL65" s="49"/>
      <c r="CM65" s="50" t="str">
        <f t="shared" si="52"/>
        <v>X</v>
      </c>
      <c r="CN65" s="51" t="b">
        <f>IF(ISNUMBER(CK65), IF(CM65=$H65,IF(CK65=$F65,IF(CL65=$G65,2,1),1),0))</f>
        <v>0</v>
      </c>
      <c r="CO65" s="48"/>
      <c r="CP65" s="49"/>
      <c r="CQ65" s="50" t="str">
        <f t="shared" si="53"/>
        <v>X</v>
      </c>
      <c r="CR65" s="51" t="b">
        <f>IF(ISNUMBER(CO65), IF(CQ65=$H65,IF(CO65=$F65,IF(CP65=$G65,2,1),1),0))</f>
        <v>0</v>
      </c>
      <c r="CS65" s="48"/>
      <c r="CT65" s="49"/>
      <c r="CU65" s="50" t="str">
        <f t="shared" si="54"/>
        <v>X</v>
      </c>
      <c r="CV65" s="51" t="b">
        <f>IF(ISNUMBER(CS65), IF(CU65=$H65,IF(CS65=$F65,IF(CT65=$G65,2,1),1),0))</f>
        <v>0</v>
      </c>
      <c r="CW65" s="48"/>
      <c r="CX65" s="49"/>
      <c r="CY65" s="50" t="str">
        <f t="shared" si="55"/>
        <v>X</v>
      </c>
      <c r="CZ65" s="51" t="b">
        <f>IF(ISNUMBER(CW65), IF(CY65=$H65,IF(CW65=$F65,IF(CX65=$G65,2,1),1),0))</f>
        <v>0</v>
      </c>
      <c r="DA65" s="48"/>
      <c r="DB65" s="49"/>
      <c r="DC65" s="50" t="str">
        <f t="shared" si="56"/>
        <v>X</v>
      </c>
      <c r="DD65" s="51" t="b">
        <f>IF(ISNUMBER(DA65), IF(DC65=$H65,IF(DA65=$F65,IF(DB65=$G65,2,1),1),0))</f>
        <v>0</v>
      </c>
      <c r="DE65" s="48"/>
      <c r="DF65" s="49"/>
      <c r="DG65" s="50" t="str">
        <f t="shared" si="57"/>
        <v>X</v>
      </c>
      <c r="DH65" s="51" t="b">
        <f>IF(ISNUMBER(DE65), IF(DG65=$H65,IF(DE65=$F65,IF(DF65=$G65,2,1),1),0))</f>
        <v>0</v>
      </c>
      <c r="DI65" s="48"/>
      <c r="DJ65" s="49"/>
      <c r="DK65" s="50" t="str">
        <f t="shared" si="58"/>
        <v>X</v>
      </c>
      <c r="DL65" s="51" t="b">
        <f>IF(ISNUMBER(DI65), IF(DK65=$H65,IF(DI65=$F65,IF(DJ65=$G65,2,1),1),0))</f>
        <v>0</v>
      </c>
      <c r="DM65" s="48"/>
      <c r="DN65" s="49"/>
      <c r="DO65" s="50" t="str">
        <f t="shared" si="29"/>
        <v>X</v>
      </c>
      <c r="DP65" s="51" t="b">
        <f>IF(ISNUMBER(DM65), IF(DO65=$H65,IF(DM65=$F65,IF(DN65=$G65,2,1),1),0))</f>
        <v>0</v>
      </c>
    </row>
    <row r="66" spans="1:120" ht="13" customHeight="1" thickBot="1">
      <c r="A66" s="41"/>
      <c r="B66" s="42"/>
      <c r="C66" s="43"/>
      <c r="D66" s="44" t="s">
        <v>143</v>
      </c>
      <c r="E66" s="33">
        <f t="shared" si="30"/>
        <v>0</v>
      </c>
      <c r="F66" s="45"/>
      <c r="G66" s="46"/>
      <c r="H66" s="47" t="b">
        <f t="shared" si="31"/>
        <v>0</v>
      </c>
      <c r="I66" s="48"/>
      <c r="J66" s="49"/>
      <c r="K66" s="50" t="str">
        <f t="shared" si="32"/>
        <v>X</v>
      </c>
      <c r="L66" s="51" t="b">
        <f>IF(ISNUMBER(I66), IF(K66=$H66,IF(I66=$F66,IF(J66=$G66,2,1),1),0))</f>
        <v>0</v>
      </c>
      <c r="M66" s="48"/>
      <c r="N66" s="49"/>
      <c r="O66" s="50" t="str">
        <f t="shared" si="33"/>
        <v>X</v>
      </c>
      <c r="P66" s="51" t="b">
        <f>IF(ISNUMBER(M66), IF(O66=$H66,IF(M66=$F66,IF(N66=$G66,2,1),1),0))</f>
        <v>0</v>
      </c>
      <c r="Q66" s="48"/>
      <c r="R66" s="49"/>
      <c r="S66" s="50" t="str">
        <f t="shared" si="34"/>
        <v>X</v>
      </c>
      <c r="T66" s="51" t="b">
        <f>IF(ISNUMBER(Q66), IF(S66=$H66,IF(Q66=$F66,IF(R66=$G66,2,1),1),0))</f>
        <v>0</v>
      </c>
      <c r="U66" s="48"/>
      <c r="V66" s="49"/>
      <c r="W66" s="50" t="str">
        <f t="shared" si="35"/>
        <v>X</v>
      </c>
      <c r="X66" s="51" t="b">
        <f>IF(ISNUMBER(U66), IF(W66=$H66,IF(U66=$F66,IF(V66=$G66,2,1),1),0))</f>
        <v>0</v>
      </c>
      <c r="Y66" s="48"/>
      <c r="Z66" s="49"/>
      <c r="AA66" s="50" t="str">
        <f t="shared" si="36"/>
        <v>X</v>
      </c>
      <c r="AB66" s="51" t="b">
        <f>IF(ISNUMBER(Y66), IF(AA66=$H66,IF(Y66=$F66,IF(Z66=$G66,2,1),1),0))</f>
        <v>0</v>
      </c>
      <c r="AC66" s="48"/>
      <c r="AD66" s="49"/>
      <c r="AE66" s="50" t="str">
        <f t="shared" si="37"/>
        <v>X</v>
      </c>
      <c r="AF66" s="51" t="b">
        <f>IF(ISNUMBER(AC66), IF(AE66=$H66,IF(AC66=$F66,IF(AD66=$G66,2,1),1),0))</f>
        <v>0</v>
      </c>
      <c r="AG66" s="48"/>
      <c r="AH66" s="49"/>
      <c r="AI66" s="50" t="str">
        <f t="shared" si="38"/>
        <v>X</v>
      </c>
      <c r="AJ66" s="51" t="b">
        <f>IF(ISNUMBER(AG66), IF(AI66=$H66,IF(AG66=$F66,IF(AH66=$G66,2,1),1),0))</f>
        <v>0</v>
      </c>
      <c r="AK66" s="48"/>
      <c r="AL66" s="49"/>
      <c r="AM66" s="50" t="str">
        <f t="shared" si="39"/>
        <v>X</v>
      </c>
      <c r="AN66" s="51" t="b">
        <f>IF(ISNUMBER(AK66), IF(AM66=$H66,IF(AK66=$F66,IF(AL66=$G66,2,1),1),0))</f>
        <v>0</v>
      </c>
      <c r="AO66" s="48"/>
      <c r="AP66" s="49"/>
      <c r="AQ66" s="50" t="str">
        <f t="shared" si="40"/>
        <v>X</v>
      </c>
      <c r="AR66" s="51" t="b">
        <f>IF(ISNUMBER(AO66), IF(AQ66=$H66,IF(AO66=$F66,IF(AP66=$G66,2,1),1),0))</f>
        <v>0</v>
      </c>
      <c r="AS66" s="48"/>
      <c r="AT66" s="49"/>
      <c r="AU66" s="50" t="str">
        <f t="shared" si="41"/>
        <v>X</v>
      </c>
      <c r="AV66" s="51" t="b">
        <f>IF(ISNUMBER(AS66), IF(AU66=$H66,IF(AS66=$F66,IF(AT66=$G66,2,1),1),0))</f>
        <v>0</v>
      </c>
      <c r="AW66" s="48"/>
      <c r="AX66" s="49"/>
      <c r="AY66" s="50" t="str">
        <f t="shared" si="42"/>
        <v>X</v>
      </c>
      <c r="AZ66" s="51" t="b">
        <f>IF(ISNUMBER(AW66), IF(AY66=$H66,IF(AW66=$F66,IF(AX66=$G66,2,1),1),0))</f>
        <v>0</v>
      </c>
      <c r="BA66" s="48"/>
      <c r="BB66" s="49"/>
      <c r="BC66" s="50" t="str">
        <f t="shared" si="43"/>
        <v>X</v>
      </c>
      <c r="BD66" s="51" t="b">
        <f>IF(ISNUMBER(BA66), IF(BC66=$H66,IF(BA66=$F66,IF(BB66=$G66,2,1),1),0))</f>
        <v>0</v>
      </c>
      <c r="BE66" s="48"/>
      <c r="BF66" s="49"/>
      <c r="BG66" s="50" t="str">
        <f t="shared" si="44"/>
        <v>X</v>
      </c>
      <c r="BH66" s="51" t="b">
        <f>IF(ISNUMBER(BE66), IF(BG66=$H66,IF(BE66=$F66,IF(BF66=$G66,2,1),1),0))</f>
        <v>0</v>
      </c>
      <c r="BI66" s="48"/>
      <c r="BJ66" s="49"/>
      <c r="BK66" s="50" t="str">
        <f t="shared" si="45"/>
        <v>X</v>
      </c>
      <c r="BL66" s="51" t="b">
        <f>IF(ISNUMBER(BI66), IF(BK66=$H66,IF(BI66=$F66,IF(BJ66=$G66,2,1),1),0))</f>
        <v>0</v>
      </c>
      <c r="BM66" s="48"/>
      <c r="BN66" s="49"/>
      <c r="BO66" s="50" t="str">
        <f t="shared" si="46"/>
        <v>X</v>
      </c>
      <c r="BP66" s="51" t="b">
        <f>IF(ISNUMBER(BM66), IF(BO66=$H66,IF(BM66=$F66,IF(BN66=$G66,2,1),1),0))</f>
        <v>0</v>
      </c>
      <c r="BQ66" s="48"/>
      <c r="BR66" s="49"/>
      <c r="BS66" s="50" t="str">
        <f t="shared" si="47"/>
        <v>X</v>
      </c>
      <c r="BT66" s="51" t="b">
        <f>IF(ISNUMBER(BQ66), IF(BS66=$H66,IF(BQ66=$F66,IF(BR66=$G66,2,1),1),0))</f>
        <v>0</v>
      </c>
      <c r="BU66" s="48"/>
      <c r="BV66" s="49"/>
      <c r="BW66" s="50" t="str">
        <f t="shared" si="48"/>
        <v>X</v>
      </c>
      <c r="BX66" s="51" t="b">
        <f>IF(ISNUMBER(BU66), IF(BW66=$H66,IF(BU66=$F66,IF(BV66=$G66,2,1),1),0))</f>
        <v>0</v>
      </c>
      <c r="BY66" s="48"/>
      <c r="BZ66" s="49"/>
      <c r="CA66" s="50" t="str">
        <f t="shared" si="49"/>
        <v>X</v>
      </c>
      <c r="CB66" s="51" t="b">
        <f>IF(ISNUMBER(BY66), IF(CA66=$H66,IF(BY66=$F66,IF(BZ66=$G66,2,1),1),0))</f>
        <v>0</v>
      </c>
      <c r="CC66" s="48"/>
      <c r="CD66" s="49"/>
      <c r="CE66" s="50" t="str">
        <f t="shared" si="50"/>
        <v>X</v>
      </c>
      <c r="CF66" s="51" t="b">
        <f>IF(ISNUMBER(CC66), IF(CE66=$H66,IF(CC66=$F66,IF(CD66=$G66,2,1),1),0))</f>
        <v>0</v>
      </c>
      <c r="CG66" s="48"/>
      <c r="CH66" s="49"/>
      <c r="CI66" s="50" t="str">
        <f t="shared" si="51"/>
        <v>X</v>
      </c>
      <c r="CJ66" s="51" t="b">
        <f>IF(ISNUMBER(CG66), IF(CI66=$H66,IF(CG66=$F66,IF(CH66=$G66,2,1),1),0))</f>
        <v>0</v>
      </c>
      <c r="CK66" s="48"/>
      <c r="CL66" s="49"/>
      <c r="CM66" s="50" t="str">
        <f t="shared" si="52"/>
        <v>X</v>
      </c>
      <c r="CN66" s="51" t="b">
        <f>IF(ISNUMBER(CK66), IF(CM66=$H66,IF(CK66=$F66,IF(CL66=$G66,2,1),1),0))</f>
        <v>0</v>
      </c>
      <c r="CO66" s="48"/>
      <c r="CP66" s="49"/>
      <c r="CQ66" s="50" t="str">
        <f t="shared" si="53"/>
        <v>X</v>
      </c>
      <c r="CR66" s="51" t="b">
        <f>IF(ISNUMBER(CO66), IF(CQ66=$H66,IF(CO66=$F66,IF(CP66=$G66,2,1),1),0))</f>
        <v>0</v>
      </c>
      <c r="CS66" s="48"/>
      <c r="CT66" s="49"/>
      <c r="CU66" s="50" t="str">
        <f t="shared" si="54"/>
        <v>X</v>
      </c>
      <c r="CV66" s="51" t="b">
        <f>IF(ISNUMBER(CS66), IF(CU66=$H66,IF(CS66=$F66,IF(CT66=$G66,2,1),1),0))</f>
        <v>0</v>
      </c>
      <c r="CW66" s="48"/>
      <c r="CX66" s="49"/>
      <c r="CY66" s="50" t="str">
        <f t="shared" si="55"/>
        <v>X</v>
      </c>
      <c r="CZ66" s="51" t="b">
        <f>IF(ISNUMBER(CW66), IF(CY66=$H66,IF(CW66=$F66,IF(CX66=$G66,2,1),1),0))</f>
        <v>0</v>
      </c>
      <c r="DA66" s="48"/>
      <c r="DB66" s="49"/>
      <c r="DC66" s="50" t="str">
        <f t="shared" si="56"/>
        <v>X</v>
      </c>
      <c r="DD66" s="51" t="b">
        <f>IF(ISNUMBER(DA66), IF(DC66=$H66,IF(DA66=$F66,IF(DB66=$G66,2,1),1),0))</f>
        <v>0</v>
      </c>
      <c r="DE66" s="48"/>
      <c r="DF66" s="49"/>
      <c r="DG66" s="50" t="str">
        <f t="shared" si="57"/>
        <v>X</v>
      </c>
      <c r="DH66" s="51" t="b">
        <f>IF(ISNUMBER(DE66), IF(DG66=$H66,IF(DE66=$F66,IF(DF66=$G66,2,1),1),0))</f>
        <v>0</v>
      </c>
      <c r="DI66" s="48"/>
      <c r="DJ66" s="49"/>
      <c r="DK66" s="50" t="str">
        <f t="shared" si="58"/>
        <v>X</v>
      </c>
      <c r="DL66" s="51" t="b">
        <f>IF(ISNUMBER(DI66), IF(DK66=$H66,IF(DI66=$F66,IF(DJ66=$G66,2,1),1),0))</f>
        <v>0</v>
      </c>
      <c r="DM66" s="48"/>
      <c r="DN66" s="49"/>
      <c r="DO66" s="50" t="str">
        <f t="shared" si="29"/>
        <v>X</v>
      </c>
      <c r="DP66" s="51" t="b">
        <f>IF(ISNUMBER(DM66), IF(DO66=$H66,IF(DM66=$F66,IF(DN66=$G66,2,1),1),0))</f>
        <v>0</v>
      </c>
    </row>
    <row r="67" spans="1:120" s="25" customFormat="1" ht="13" customHeight="1" thickBot="1">
      <c r="A67" s="52"/>
      <c r="B67" s="53"/>
      <c r="C67" s="54"/>
      <c r="D67" s="55" t="s">
        <v>144</v>
      </c>
      <c r="E67" s="33">
        <f t="shared" si="30"/>
        <v>0</v>
      </c>
      <c r="F67" s="56"/>
      <c r="G67" s="56"/>
      <c r="H67" s="57" t="b">
        <f t="shared" si="31"/>
        <v>0</v>
      </c>
      <c r="I67" s="58">
        <f>SUM(I64:I66)</f>
        <v>0</v>
      </c>
      <c r="J67" s="59">
        <f>SUM(J64:J66)</f>
        <v>0</v>
      </c>
      <c r="K67" s="59" t="str">
        <f t="shared" si="32"/>
        <v>X</v>
      </c>
      <c r="L67" s="60">
        <f>IF($H67=K67,SUM(L64:L66)+1,SUM(L64:L66))</f>
        <v>0</v>
      </c>
      <c r="M67" s="58">
        <f>SUM(M64:M66)</f>
        <v>0</v>
      </c>
      <c r="N67" s="59">
        <f>SUM(N64:N66)</f>
        <v>0</v>
      </c>
      <c r="O67" s="59" t="str">
        <f t="shared" si="33"/>
        <v>X</v>
      </c>
      <c r="P67" s="60">
        <f>IF($H67=O67,SUM(P64:P66)+1,SUM(P64:P66))</f>
        <v>0</v>
      </c>
      <c r="Q67" s="58">
        <f>SUM(Q64:Q66)</f>
        <v>0</v>
      </c>
      <c r="R67" s="59">
        <f>SUM(R64:R66)</f>
        <v>0</v>
      </c>
      <c r="S67" s="59" t="str">
        <f t="shared" si="34"/>
        <v>X</v>
      </c>
      <c r="T67" s="60">
        <f>IF($H67=S67,SUM(T64:T66)+1,SUM(T64:T66))</f>
        <v>0</v>
      </c>
      <c r="U67" s="58">
        <f>SUM(U64:U66)</f>
        <v>0</v>
      </c>
      <c r="V67" s="59">
        <f>SUM(V64:V66)</f>
        <v>0</v>
      </c>
      <c r="W67" s="59" t="str">
        <f t="shared" si="35"/>
        <v>X</v>
      </c>
      <c r="X67" s="60">
        <f>IF($H67=W67,SUM(X64:X66)+1,SUM(X64:X66))</f>
        <v>0</v>
      </c>
      <c r="Y67" s="58">
        <f>SUM(Y64:Y66)</f>
        <v>0</v>
      </c>
      <c r="Z67" s="59">
        <f>SUM(Z64:Z66)</f>
        <v>0</v>
      </c>
      <c r="AA67" s="59" t="str">
        <f t="shared" si="36"/>
        <v>X</v>
      </c>
      <c r="AB67" s="60">
        <f>IF($H67=AA67,SUM(AB64:AB66)+1,SUM(AB64:AB66))</f>
        <v>0</v>
      </c>
      <c r="AC67" s="58">
        <f>SUM(AC64:AC66)</f>
        <v>0</v>
      </c>
      <c r="AD67" s="59">
        <f>SUM(AD64:AD66)</f>
        <v>0</v>
      </c>
      <c r="AE67" s="59" t="str">
        <f t="shared" si="37"/>
        <v>X</v>
      </c>
      <c r="AF67" s="60">
        <f>IF($H67=AE67,SUM(AF64:AF66)+1,SUM(AF64:AF66))</f>
        <v>0</v>
      </c>
      <c r="AG67" s="58">
        <f>SUM(AG64:AG66)</f>
        <v>0</v>
      </c>
      <c r="AH67" s="59">
        <f>SUM(AH64:AH66)</f>
        <v>0</v>
      </c>
      <c r="AI67" s="59" t="str">
        <f t="shared" si="38"/>
        <v>X</v>
      </c>
      <c r="AJ67" s="60">
        <f>IF($H67=AI67,SUM(AJ64:AJ66)+1,SUM(AJ64:AJ66))</f>
        <v>0</v>
      </c>
      <c r="AK67" s="58">
        <f>SUM(AK64:AK66)</f>
        <v>0</v>
      </c>
      <c r="AL67" s="59">
        <f>SUM(AL64:AL66)</f>
        <v>0</v>
      </c>
      <c r="AM67" s="59" t="str">
        <f t="shared" si="39"/>
        <v>X</v>
      </c>
      <c r="AN67" s="60">
        <f>IF($H67=AM67,SUM(AN64:AN66)+1,SUM(AN64:AN66))</f>
        <v>0</v>
      </c>
      <c r="AO67" s="58">
        <f>SUM(AO64:AO66)</f>
        <v>0</v>
      </c>
      <c r="AP67" s="59">
        <f>SUM(AP64:AP66)</f>
        <v>0</v>
      </c>
      <c r="AQ67" s="59" t="str">
        <f t="shared" si="40"/>
        <v>X</v>
      </c>
      <c r="AR67" s="60">
        <f>IF($H67=AQ67,SUM(AR64:AR66)+1,SUM(AR64:AR66))</f>
        <v>0</v>
      </c>
      <c r="AS67" s="58">
        <f>SUM(AS64:AS66)</f>
        <v>0</v>
      </c>
      <c r="AT67" s="59">
        <f>SUM(AT64:AT66)</f>
        <v>0</v>
      </c>
      <c r="AU67" s="59" t="str">
        <f t="shared" si="41"/>
        <v>X</v>
      </c>
      <c r="AV67" s="60">
        <f>IF($H67=AU67,SUM(AV64:AV66)+1,SUM(AV64:AV66))</f>
        <v>0</v>
      </c>
      <c r="AW67" s="58">
        <f>SUM(AW64:AW66)</f>
        <v>0</v>
      </c>
      <c r="AX67" s="59">
        <f>SUM(AX64:AX66)</f>
        <v>0</v>
      </c>
      <c r="AY67" s="59" t="str">
        <f t="shared" si="42"/>
        <v>X</v>
      </c>
      <c r="AZ67" s="60">
        <f>IF($H67=AY67,SUM(AZ64:AZ66)+1,SUM(AZ64:AZ66))</f>
        <v>0</v>
      </c>
      <c r="BA67" s="58">
        <f>SUM(BA64:BA66)</f>
        <v>0</v>
      </c>
      <c r="BB67" s="59">
        <f>SUM(BB64:BB66)</f>
        <v>0</v>
      </c>
      <c r="BC67" s="59" t="str">
        <f t="shared" si="43"/>
        <v>X</v>
      </c>
      <c r="BD67" s="60">
        <f>IF($H67=BC67,SUM(BD64:BD66)+1,SUM(BD64:BD66))</f>
        <v>0</v>
      </c>
      <c r="BE67" s="58">
        <f>SUM(BE64:BE66)</f>
        <v>0</v>
      </c>
      <c r="BF67" s="59">
        <f>SUM(BF64:BF66)</f>
        <v>0</v>
      </c>
      <c r="BG67" s="59" t="str">
        <f t="shared" si="44"/>
        <v>X</v>
      </c>
      <c r="BH67" s="60">
        <f>IF($H67=BG67,SUM(BH64:BH66)+1,SUM(BH64:BH66))</f>
        <v>0</v>
      </c>
      <c r="BI67" s="58">
        <f>SUM(BI64:BI66)</f>
        <v>0</v>
      </c>
      <c r="BJ67" s="59">
        <f>SUM(BJ64:BJ66)</f>
        <v>0</v>
      </c>
      <c r="BK67" s="59" t="str">
        <f t="shared" si="45"/>
        <v>X</v>
      </c>
      <c r="BL67" s="60">
        <f>IF($H67=BK67,SUM(BL64:BL66)+1,SUM(BL64:BL66))</f>
        <v>0</v>
      </c>
      <c r="BM67" s="58">
        <f>SUM(BM64:BM66)</f>
        <v>0</v>
      </c>
      <c r="BN67" s="59">
        <f>SUM(BN64:BN66)</f>
        <v>0</v>
      </c>
      <c r="BO67" s="59" t="str">
        <f t="shared" si="46"/>
        <v>X</v>
      </c>
      <c r="BP67" s="60">
        <f>IF($H67=BO67,SUM(BP64:BP66)+1,SUM(BP64:BP66))</f>
        <v>0</v>
      </c>
      <c r="BQ67" s="58">
        <f>SUM(BQ64:BQ66)</f>
        <v>0</v>
      </c>
      <c r="BR67" s="59">
        <f>SUM(BR64:BR66)</f>
        <v>0</v>
      </c>
      <c r="BS67" s="59" t="str">
        <f t="shared" si="47"/>
        <v>X</v>
      </c>
      <c r="BT67" s="60">
        <f>IF($H67=BS67,SUM(BT64:BT66)+1,SUM(BT64:BT66))</f>
        <v>0</v>
      </c>
      <c r="BU67" s="58">
        <f>SUM(BU64:BU66)</f>
        <v>0</v>
      </c>
      <c r="BV67" s="59">
        <f>SUM(BV64:BV66)</f>
        <v>0</v>
      </c>
      <c r="BW67" s="59" t="str">
        <f t="shared" si="48"/>
        <v>X</v>
      </c>
      <c r="BX67" s="60">
        <f>IF($H67=BW67,SUM(BX64:BX66)+1,SUM(BX64:BX66))</f>
        <v>0</v>
      </c>
      <c r="BY67" s="58">
        <f>SUM(BY64:BY66)</f>
        <v>0</v>
      </c>
      <c r="BZ67" s="59">
        <f>SUM(BZ64:BZ66)</f>
        <v>0</v>
      </c>
      <c r="CA67" s="59" t="str">
        <f t="shared" si="49"/>
        <v>X</v>
      </c>
      <c r="CB67" s="60">
        <f>IF($H67=CA67,SUM(CB64:CB66)+1,SUM(CB64:CB66))</f>
        <v>0</v>
      </c>
      <c r="CC67" s="58">
        <f>SUM(CC64:CC66)</f>
        <v>0</v>
      </c>
      <c r="CD67" s="59">
        <f>SUM(CD64:CD66)</f>
        <v>0</v>
      </c>
      <c r="CE67" s="59" t="str">
        <f t="shared" si="50"/>
        <v>X</v>
      </c>
      <c r="CF67" s="60">
        <f>IF($H67=CE67,SUM(CF64:CF66)+1,SUM(CF64:CF66))</f>
        <v>0</v>
      </c>
      <c r="CG67" s="58">
        <f>SUM(CG64:CG66)</f>
        <v>0</v>
      </c>
      <c r="CH67" s="59">
        <f>SUM(CH64:CH66)</f>
        <v>0</v>
      </c>
      <c r="CI67" s="59" t="str">
        <f t="shared" si="51"/>
        <v>X</v>
      </c>
      <c r="CJ67" s="60">
        <f>IF($H67=CI67,SUM(CJ64:CJ66)+1,SUM(CJ64:CJ66))</f>
        <v>0</v>
      </c>
      <c r="CK67" s="58">
        <f>SUM(CK64:CK66)</f>
        <v>0</v>
      </c>
      <c r="CL67" s="59">
        <f>SUM(CL64:CL66)</f>
        <v>0</v>
      </c>
      <c r="CM67" s="59" t="str">
        <f t="shared" si="52"/>
        <v>X</v>
      </c>
      <c r="CN67" s="60">
        <f>IF($H67=CM67,SUM(CN64:CN66)+1,SUM(CN64:CN66))</f>
        <v>0</v>
      </c>
      <c r="CO67" s="58">
        <f>SUM(CO64:CO66)</f>
        <v>0</v>
      </c>
      <c r="CP67" s="59">
        <f>SUM(CP64:CP66)</f>
        <v>0</v>
      </c>
      <c r="CQ67" s="59" t="str">
        <f t="shared" si="53"/>
        <v>X</v>
      </c>
      <c r="CR67" s="60">
        <f>IF($H67=CQ67,SUM(CR64:CR66)+1,SUM(CR64:CR66))</f>
        <v>0</v>
      </c>
      <c r="CS67" s="58">
        <f>SUM(CS64:CS66)</f>
        <v>0</v>
      </c>
      <c r="CT67" s="59">
        <f>SUM(CT64:CT66)</f>
        <v>0</v>
      </c>
      <c r="CU67" s="59" t="str">
        <f t="shared" si="54"/>
        <v>X</v>
      </c>
      <c r="CV67" s="60">
        <f>IF($H67=CU67,SUM(CV64:CV66)+1,SUM(CV64:CV66))</f>
        <v>0</v>
      </c>
      <c r="CW67" s="58">
        <f>SUM(CW64:CW66)</f>
        <v>0</v>
      </c>
      <c r="CX67" s="59">
        <f>SUM(CX64:CX66)</f>
        <v>0</v>
      </c>
      <c r="CY67" s="59" t="str">
        <f t="shared" si="55"/>
        <v>X</v>
      </c>
      <c r="CZ67" s="60">
        <f>IF($H67=CY67,SUM(CZ64:CZ66)+1,SUM(CZ64:CZ66))</f>
        <v>0</v>
      </c>
      <c r="DA67" s="58">
        <f>SUM(DA64:DA66)</f>
        <v>0</v>
      </c>
      <c r="DB67" s="59">
        <f>SUM(DB64:DB66)</f>
        <v>0</v>
      </c>
      <c r="DC67" s="59" t="str">
        <f t="shared" si="56"/>
        <v>X</v>
      </c>
      <c r="DD67" s="60">
        <f>IF($H67=DC67,SUM(DD64:DD66)+1,SUM(DD64:DD66))</f>
        <v>0</v>
      </c>
      <c r="DE67" s="58">
        <f>SUM(DE64:DE66)</f>
        <v>0</v>
      </c>
      <c r="DF67" s="59">
        <f>SUM(DF64:DF66)</f>
        <v>0</v>
      </c>
      <c r="DG67" s="59" t="str">
        <f t="shared" si="57"/>
        <v>X</v>
      </c>
      <c r="DH67" s="60">
        <f>IF($H67=DG67,SUM(DH64:DH66)+1,SUM(DH64:DH66))</f>
        <v>0</v>
      </c>
      <c r="DI67" s="58">
        <f>SUM(DI64:DI66)</f>
        <v>0</v>
      </c>
      <c r="DJ67" s="59">
        <f>SUM(DJ64:DJ66)</f>
        <v>0</v>
      </c>
      <c r="DK67" s="59" t="str">
        <f t="shared" si="58"/>
        <v>X</v>
      </c>
      <c r="DL67" s="60">
        <f>IF($H67=DK67,SUM(DL64:DL66)+1,SUM(DL64:DL66))</f>
        <v>0</v>
      </c>
      <c r="DM67" s="58">
        <f>SUM(DM64:DM66)</f>
        <v>0</v>
      </c>
      <c r="DN67" s="59">
        <f>SUM(DN64:DN66)</f>
        <v>0</v>
      </c>
      <c r="DO67" s="59" t="str">
        <f t="shared" si="29"/>
        <v>X</v>
      </c>
      <c r="DP67" s="60">
        <f>IF($H67=DO67,SUM(DP64:DP66)+1,SUM(DP64:DP66))</f>
        <v>0</v>
      </c>
    </row>
    <row r="71" spans="1:120" ht="13" customHeight="1">
      <c r="C71" s="80"/>
      <c r="D71" s="80"/>
      <c r="E71" s="80"/>
      <c r="F71" s="80"/>
    </row>
    <row r="72" spans="1:120" ht="13" customHeight="1">
      <c r="C72" s="80"/>
      <c r="D72" s="80"/>
      <c r="E72" s="80"/>
      <c r="F72" s="80"/>
    </row>
    <row r="73" spans="1:120" ht="13" customHeight="1">
      <c r="C73" s="80"/>
      <c r="D73" s="80"/>
      <c r="E73" s="80"/>
      <c r="F73" s="80"/>
    </row>
    <row r="74" spans="1:120" ht="13" customHeight="1">
      <c r="C74" s="80"/>
      <c r="D74" s="80"/>
      <c r="E74" s="80"/>
      <c r="F74" s="80"/>
    </row>
  </sheetData>
  <mergeCells count="90">
    <mergeCell ref="A1:A2"/>
    <mergeCell ref="I3:L3"/>
    <mergeCell ref="BI3:BL3"/>
    <mergeCell ref="BA3:BD3"/>
    <mergeCell ref="U3:X3"/>
    <mergeCell ref="AW1:AZ1"/>
    <mergeCell ref="E1:E2"/>
    <mergeCell ref="A3:H3"/>
    <mergeCell ref="B1:D2"/>
    <mergeCell ref="M3:P3"/>
    <mergeCell ref="M1:P1"/>
    <mergeCell ref="CS3:CV3"/>
    <mergeCell ref="BQ3:BT3"/>
    <mergeCell ref="CK3:CN3"/>
    <mergeCell ref="AS3:AV3"/>
    <mergeCell ref="DM1:DP1"/>
    <mergeCell ref="DM2:DN2"/>
    <mergeCell ref="DM3:DP3"/>
    <mergeCell ref="DE3:DH3"/>
    <mergeCell ref="DI3:DL3"/>
    <mergeCell ref="U1:X1"/>
    <mergeCell ref="U2:V2"/>
    <mergeCell ref="BY1:CB1"/>
    <mergeCell ref="BM2:BN2"/>
    <mergeCell ref="AG2:AH2"/>
    <mergeCell ref="AS2:AT2"/>
    <mergeCell ref="DE2:DF2"/>
    <mergeCell ref="DE1:DH1"/>
    <mergeCell ref="M2:N2"/>
    <mergeCell ref="Y2:Z2"/>
    <mergeCell ref="BY2:BZ2"/>
    <mergeCell ref="CK2:CL2"/>
    <mergeCell ref="CS2:CT2"/>
    <mergeCell ref="AS1:AV1"/>
    <mergeCell ref="CW2:CX2"/>
    <mergeCell ref="CC1:CF1"/>
    <mergeCell ref="CW1:CZ1"/>
    <mergeCell ref="CO1:CR1"/>
    <mergeCell ref="BQ2:BR2"/>
    <mergeCell ref="DA2:DB2"/>
    <mergeCell ref="AC1:AF1"/>
    <mergeCell ref="CK1:CN1"/>
    <mergeCell ref="CW3:CZ3"/>
    <mergeCell ref="Q3:T3"/>
    <mergeCell ref="DA3:DD3"/>
    <mergeCell ref="BU3:BX3"/>
    <mergeCell ref="BY3:CB3"/>
    <mergeCell ref="BE3:BH3"/>
    <mergeCell ref="Y3:AB3"/>
    <mergeCell ref="AK3:AN3"/>
    <mergeCell ref="CC3:CF3"/>
    <mergeCell ref="CO3:CR3"/>
    <mergeCell ref="BM3:BP3"/>
    <mergeCell ref="AG3:AJ3"/>
    <mergeCell ref="AC3:AF3"/>
    <mergeCell ref="AW3:AZ3"/>
    <mergeCell ref="CG3:CJ3"/>
    <mergeCell ref="AO3:AR3"/>
    <mergeCell ref="DI2:DJ2"/>
    <mergeCell ref="Y1:AB1"/>
    <mergeCell ref="BQ1:BT1"/>
    <mergeCell ref="DI1:DL1"/>
    <mergeCell ref="Q2:R2"/>
    <mergeCell ref="DA1:DD1"/>
    <mergeCell ref="BU1:BX1"/>
    <mergeCell ref="AC2:AD2"/>
    <mergeCell ref="CC2:CD2"/>
    <mergeCell ref="CO2:CP2"/>
    <mergeCell ref="AO1:AR1"/>
    <mergeCell ref="CS1:CV1"/>
    <mergeCell ref="BM1:BP1"/>
    <mergeCell ref="Q1:T1"/>
    <mergeCell ref="AK2:AL2"/>
    <mergeCell ref="AK1:AN1"/>
    <mergeCell ref="F1:G2"/>
    <mergeCell ref="BE2:BF2"/>
    <mergeCell ref="BE1:BH1"/>
    <mergeCell ref="H1:H2"/>
    <mergeCell ref="CG1:CJ1"/>
    <mergeCell ref="AO2:AP2"/>
    <mergeCell ref="I2:J2"/>
    <mergeCell ref="BI2:BJ2"/>
    <mergeCell ref="BA2:BB2"/>
    <mergeCell ref="BU2:BV2"/>
    <mergeCell ref="BA1:BD1"/>
    <mergeCell ref="I1:L1"/>
    <mergeCell ref="AG1:AJ1"/>
    <mergeCell ref="CG2:CH2"/>
    <mergeCell ref="AW2:AX2"/>
    <mergeCell ref="BI1:BL1"/>
  </mergeCells>
  <conditionalFormatting sqref="B28">
    <cfRule type="expression" dxfId="536" priority="334" stopIfTrue="1">
      <formula>#REF!&gt;#REF!</formula>
    </cfRule>
    <cfRule type="expression" dxfId="535" priority="335" stopIfTrue="1">
      <formula>#REF!&lt;#REF!</formula>
    </cfRule>
  </conditionalFormatting>
  <conditionalFormatting sqref="B36:D51 F36:G59 B52 D52 B53:D55 B56 D56 B57:D59 B64:D67 F64:G67">
    <cfRule type="expression" dxfId="534" priority="490" stopIfTrue="1">
      <formula>#REF!&gt;#REF!</formula>
    </cfRule>
    <cfRule type="expression" dxfId="533" priority="491" stopIfTrue="1">
      <formula>#REF!&lt;#REF!</formula>
    </cfRule>
  </conditionalFormatting>
  <conditionalFormatting sqref="B60:D63 F60:G63">
    <cfRule type="expression" dxfId="532" priority="477" stopIfTrue="1">
      <formula>#REF!&gt;#REF!</formula>
    </cfRule>
    <cfRule type="expression" dxfId="531" priority="478" stopIfTrue="1">
      <formula>#REF!&lt;#REF!</formula>
    </cfRule>
  </conditionalFormatting>
  <conditionalFormatting sqref="B4:G4 B5:D27 E5:E67">
    <cfRule type="expression" dxfId="530" priority="402" stopIfTrue="1">
      <formula>#REF!&gt;#REF!</formula>
    </cfRule>
    <cfRule type="expression" dxfId="529" priority="403" stopIfTrue="1">
      <formula>#REF!&lt;#REF!</formula>
    </cfRule>
  </conditionalFormatting>
  <conditionalFormatting sqref="C52">
    <cfRule type="expression" dxfId="528" priority="102" stopIfTrue="1">
      <formula>#REF!&gt;#REF!</formula>
    </cfRule>
    <cfRule type="expression" dxfId="527" priority="103" stopIfTrue="1">
      <formula>#REF!&lt;#REF!</formula>
    </cfRule>
  </conditionalFormatting>
  <conditionalFormatting sqref="C56">
    <cfRule type="expression" dxfId="526" priority="100" stopIfTrue="1">
      <formula>#REF!&gt;#REF!</formula>
    </cfRule>
    <cfRule type="expression" dxfId="525" priority="101" stopIfTrue="1">
      <formula>#REF!&lt;#REF!</formula>
    </cfRule>
  </conditionalFormatting>
  <conditionalFormatting sqref="F5:G35 C28:D28 B29:D35">
    <cfRule type="expression" dxfId="524" priority="400" stopIfTrue="1">
      <formula>#REF!&lt;#REF!</formula>
    </cfRule>
    <cfRule type="expression" dxfId="523" priority="399" stopIfTrue="1">
      <formula>#REF!&gt;#REF!</formula>
    </cfRule>
  </conditionalFormatting>
  <conditionalFormatting sqref="I36:J38">
    <cfRule type="expression" dxfId="522" priority="236" stopIfTrue="1">
      <formula>#REF!&gt;#REF!</formula>
    </cfRule>
    <cfRule type="expression" dxfId="521" priority="237" stopIfTrue="1">
      <formula>#REF!&lt;#REF!</formula>
    </cfRule>
  </conditionalFormatting>
  <conditionalFormatting sqref="I40:J42">
    <cfRule type="expression" dxfId="520" priority="234" stopIfTrue="1">
      <formula>#REF!&gt;#REF!</formula>
    </cfRule>
    <cfRule type="expression" dxfId="519" priority="235" stopIfTrue="1">
      <formula>#REF!&lt;#REF!</formula>
    </cfRule>
  </conditionalFormatting>
  <conditionalFormatting sqref="I44:J46">
    <cfRule type="expression" dxfId="518" priority="232" stopIfTrue="1">
      <formula>#REF!&gt;#REF!</formula>
    </cfRule>
    <cfRule type="expression" dxfId="517" priority="233" stopIfTrue="1">
      <formula>#REF!&lt;#REF!</formula>
    </cfRule>
  </conditionalFormatting>
  <conditionalFormatting sqref="I48:J50">
    <cfRule type="expression" dxfId="516" priority="230" stopIfTrue="1">
      <formula>#REF!&gt;#REF!</formula>
    </cfRule>
    <cfRule type="expression" dxfId="515" priority="231" stopIfTrue="1">
      <formula>#REF!&lt;#REF!</formula>
    </cfRule>
  </conditionalFormatting>
  <conditionalFormatting sqref="I52:J54">
    <cfRule type="expression" dxfId="514" priority="75" stopIfTrue="1">
      <formula>#REF!&lt;#REF!</formula>
    </cfRule>
    <cfRule type="expression" dxfId="513" priority="74" stopIfTrue="1">
      <formula>#REF!&gt;#REF!</formula>
    </cfRule>
  </conditionalFormatting>
  <conditionalFormatting sqref="I4:K27 I32:K35">
    <cfRule type="expression" dxfId="512" priority="1204" stopIfTrue="1">
      <formula>ISBLANK(A1)</formula>
    </cfRule>
  </conditionalFormatting>
  <conditionalFormatting sqref="I28:K31">
    <cfRule type="expression" dxfId="511" priority="1206" stopIfTrue="1">
      <formula>ISBLANK(A1)</formula>
    </cfRule>
  </conditionalFormatting>
  <conditionalFormatting sqref="I39:K39 I43:K43 I47:K47 I51:K51 I55:K59 I64:K67">
    <cfRule type="expression" dxfId="510" priority="1038" stopIfTrue="1">
      <formula>ISBLANK(A4)</formula>
    </cfRule>
  </conditionalFormatting>
  <conditionalFormatting sqref="I60:K63">
    <cfRule type="expression" dxfId="509" priority="1044" stopIfTrue="1">
      <formula>ISBLANK(A1)</formula>
    </cfRule>
  </conditionalFormatting>
  <conditionalFormatting sqref="K36:K38 K40:K42 K44:K46 K48:K50 K52:K54">
    <cfRule type="expression" dxfId="508" priority="489" stopIfTrue="1">
      <formula>ISBLANK(B1)</formula>
    </cfRule>
  </conditionalFormatting>
  <conditionalFormatting sqref="M36:N38">
    <cfRule type="expression" dxfId="507" priority="309" stopIfTrue="1">
      <formula>#REF!&lt;#REF!</formula>
    </cfRule>
    <cfRule type="expression" dxfId="506" priority="308" stopIfTrue="1">
      <formula>#REF!&gt;#REF!</formula>
    </cfRule>
  </conditionalFormatting>
  <conditionalFormatting sqref="M40:N42">
    <cfRule type="expression" dxfId="505" priority="306" stopIfTrue="1">
      <formula>#REF!&gt;#REF!</formula>
    </cfRule>
    <cfRule type="expression" dxfId="504" priority="307" stopIfTrue="1">
      <formula>#REF!&lt;#REF!</formula>
    </cfRule>
  </conditionalFormatting>
  <conditionalFormatting sqref="M44:N46">
    <cfRule type="expression" dxfId="503" priority="304" stopIfTrue="1">
      <formula>#REF!&gt;#REF!</formula>
    </cfRule>
    <cfRule type="expression" dxfId="502" priority="305" stopIfTrue="1">
      <formula>#REF!&lt;#REF!</formula>
    </cfRule>
  </conditionalFormatting>
  <conditionalFormatting sqref="M48:N50">
    <cfRule type="expression" dxfId="501" priority="302" stopIfTrue="1">
      <formula>#REF!&gt;#REF!</formula>
    </cfRule>
    <cfRule type="expression" dxfId="500" priority="303" stopIfTrue="1">
      <formula>#REF!&lt;#REF!</formula>
    </cfRule>
  </conditionalFormatting>
  <conditionalFormatting sqref="M52:N54">
    <cfRule type="expression" dxfId="499" priority="91" stopIfTrue="1">
      <formula>#REF!&lt;#REF!</formula>
    </cfRule>
    <cfRule type="expression" dxfId="498" priority="90" stopIfTrue="1">
      <formula>#REF!&gt;#REF!</formula>
    </cfRule>
  </conditionalFormatting>
  <conditionalFormatting sqref="M56:N58">
    <cfRule type="expression" dxfId="497" priority="89" stopIfTrue="1">
      <formula>#REF!&lt;#REF!</formula>
    </cfRule>
    <cfRule type="expression" dxfId="496" priority="88" stopIfTrue="1">
      <formula>#REF!&gt;#REF!</formula>
    </cfRule>
  </conditionalFormatting>
  <conditionalFormatting sqref="M4:O27 M32:O35">
    <cfRule type="expression" dxfId="495" priority="1207" stopIfTrue="1">
      <formula>ISBLANK(A1)</formula>
    </cfRule>
  </conditionalFormatting>
  <conditionalFormatting sqref="M28:O31">
    <cfRule type="expression" dxfId="494" priority="1209" stopIfTrue="1">
      <formula>ISBLANK(A1)</formula>
    </cfRule>
  </conditionalFormatting>
  <conditionalFormatting sqref="M39:O39 M43:O43 M47:O47 M51:O51 M55:O55 M59:O59 M64:O67">
    <cfRule type="expression" dxfId="493" priority="1045" stopIfTrue="1">
      <formula>ISBLANK(A4)</formula>
    </cfRule>
  </conditionalFormatting>
  <conditionalFormatting sqref="M60:O63">
    <cfRule type="expression" dxfId="492" priority="1052" stopIfTrue="1">
      <formula>ISBLANK(A1)</formula>
    </cfRule>
  </conditionalFormatting>
  <conditionalFormatting sqref="O36:O38 O40:O42 O44:O46 O48:O50 O52:O54 O56:O58">
    <cfRule type="expression" dxfId="491" priority="473" stopIfTrue="1">
      <formula>ISBLANK(B1)</formula>
    </cfRule>
  </conditionalFormatting>
  <conditionalFormatting sqref="Q36:R38">
    <cfRule type="expression" dxfId="490" priority="173" stopIfTrue="1">
      <formula>#REF!&lt;#REF!</formula>
    </cfRule>
    <cfRule type="expression" dxfId="489" priority="172" stopIfTrue="1">
      <formula>#REF!&gt;#REF!</formula>
    </cfRule>
  </conditionalFormatting>
  <conditionalFormatting sqref="Q40:R42">
    <cfRule type="expression" dxfId="488" priority="171" stopIfTrue="1">
      <formula>#REF!&lt;#REF!</formula>
    </cfRule>
    <cfRule type="expression" dxfId="487" priority="170" stopIfTrue="1">
      <formula>#REF!&gt;#REF!</formula>
    </cfRule>
  </conditionalFormatting>
  <conditionalFormatting sqref="Q44:R46">
    <cfRule type="expression" dxfId="486" priority="169" stopIfTrue="1">
      <formula>#REF!&lt;#REF!</formula>
    </cfRule>
    <cfRule type="expression" dxfId="485" priority="168" stopIfTrue="1">
      <formula>#REF!&gt;#REF!</formula>
    </cfRule>
  </conditionalFormatting>
  <conditionalFormatting sqref="Q48:R50">
    <cfRule type="expression" dxfId="484" priority="166" stopIfTrue="1">
      <formula>#REF!&gt;#REF!</formula>
    </cfRule>
    <cfRule type="expression" dxfId="483" priority="167" stopIfTrue="1">
      <formula>#REF!&lt;#REF!</formula>
    </cfRule>
  </conditionalFormatting>
  <conditionalFormatting sqref="Q52:R54">
    <cfRule type="expression" dxfId="482" priority="55" stopIfTrue="1">
      <formula>#REF!&lt;#REF!</formula>
    </cfRule>
    <cfRule type="expression" dxfId="481" priority="54" stopIfTrue="1">
      <formula>#REF!&gt;#REF!</formula>
    </cfRule>
  </conditionalFormatting>
  <conditionalFormatting sqref="Q56:R58">
    <cfRule type="expression" dxfId="480" priority="57" stopIfTrue="1">
      <formula>#REF!&lt;#REF!</formula>
    </cfRule>
    <cfRule type="expression" dxfId="479" priority="56" stopIfTrue="1">
      <formula>#REF!&gt;#REF!</formula>
    </cfRule>
  </conditionalFormatting>
  <conditionalFormatting sqref="Q4:S27 Q32:S35">
    <cfRule type="expression" dxfId="478" priority="1210" stopIfTrue="1">
      <formula>ISBLANK(A1)</formula>
    </cfRule>
  </conditionalFormatting>
  <conditionalFormatting sqref="Q28:S31">
    <cfRule type="expression" dxfId="477" priority="1212" stopIfTrue="1">
      <formula>ISBLANK(A1)</formula>
    </cfRule>
  </conditionalFormatting>
  <conditionalFormatting sqref="Q39:S39 Q43:S43 Q47:S47 Q51:S51 Q55:S55 Q59:S59 Q64:S67">
    <cfRule type="expression" dxfId="476" priority="1053" stopIfTrue="1">
      <formula>ISBLANK(A4)</formula>
    </cfRule>
  </conditionalFormatting>
  <conditionalFormatting sqref="Q60:S63">
    <cfRule type="expression" dxfId="475" priority="1060" stopIfTrue="1">
      <formula>ISBLANK(A1)</formula>
    </cfRule>
  </conditionalFormatting>
  <conditionalFormatting sqref="S36:S38 S40:S42 S44:S46 S48:S50 S52:S54 S56:S58">
    <cfRule type="expression" dxfId="474" priority="471" stopIfTrue="1">
      <formula>ISBLANK(B1)</formula>
    </cfRule>
  </conditionalFormatting>
  <conditionalFormatting sqref="U36:V38">
    <cfRule type="expression" dxfId="473" priority="317" stopIfTrue="1">
      <formula>#REF!&lt;#REF!</formula>
    </cfRule>
    <cfRule type="expression" dxfId="472" priority="316" stopIfTrue="1">
      <formula>#REF!&gt;#REF!</formula>
    </cfRule>
  </conditionalFormatting>
  <conditionalFormatting sqref="U40:V42">
    <cfRule type="expression" dxfId="471" priority="314" stopIfTrue="1">
      <formula>#REF!&gt;#REF!</formula>
    </cfRule>
    <cfRule type="expression" dxfId="470" priority="315" stopIfTrue="1">
      <formula>#REF!&lt;#REF!</formula>
    </cfRule>
  </conditionalFormatting>
  <conditionalFormatting sqref="U44:V46">
    <cfRule type="expression" dxfId="469" priority="312" stopIfTrue="1">
      <formula>#REF!&gt;#REF!</formula>
    </cfRule>
    <cfRule type="expression" dxfId="468" priority="313" stopIfTrue="1">
      <formula>#REF!&lt;#REF!</formula>
    </cfRule>
  </conditionalFormatting>
  <conditionalFormatting sqref="U48:V50">
    <cfRule type="expression" dxfId="467" priority="310" stopIfTrue="1">
      <formula>#REF!&gt;#REF!</formula>
    </cfRule>
    <cfRule type="expression" dxfId="466" priority="311" stopIfTrue="1">
      <formula>#REF!&lt;#REF!</formula>
    </cfRule>
  </conditionalFormatting>
  <conditionalFormatting sqref="U52:V54">
    <cfRule type="expression" dxfId="465" priority="86" stopIfTrue="1">
      <formula>#REF!&gt;#REF!</formula>
    </cfRule>
    <cfRule type="expression" dxfId="464" priority="87" stopIfTrue="1">
      <formula>#REF!&lt;#REF!</formula>
    </cfRule>
  </conditionalFormatting>
  <conditionalFormatting sqref="U56:V58">
    <cfRule type="expression" dxfId="463" priority="84" stopIfTrue="1">
      <formula>#REF!&gt;#REF!</formula>
    </cfRule>
    <cfRule type="expression" dxfId="462" priority="85" stopIfTrue="1">
      <formula>#REF!&lt;#REF!</formula>
    </cfRule>
  </conditionalFormatting>
  <conditionalFormatting sqref="U4:W27 U32:W35">
    <cfRule type="expression" dxfId="461" priority="1213" stopIfTrue="1">
      <formula>ISBLANK(A1)</formula>
    </cfRule>
  </conditionalFormatting>
  <conditionalFormatting sqref="U28:W31">
    <cfRule type="expression" dxfId="460" priority="1215" stopIfTrue="1">
      <formula>ISBLANK(A1)</formula>
    </cfRule>
  </conditionalFormatting>
  <conditionalFormatting sqref="U39:W39 U43:W43 U47:W47 U51:W51 U55:W55 U59:W59 U64:W67">
    <cfRule type="expression" dxfId="459" priority="1061" stopIfTrue="1">
      <formula>ISBLANK(A4)</formula>
    </cfRule>
  </conditionalFormatting>
  <conditionalFormatting sqref="U60:W63">
    <cfRule type="expression" dxfId="458" priority="1068" stopIfTrue="1">
      <formula>ISBLANK(A1)</formula>
    </cfRule>
  </conditionalFormatting>
  <conditionalFormatting sqref="W36:W38 W40:W42 W44:W46 W48:W50 W52:W54 W56:W58">
    <cfRule type="expression" dxfId="457" priority="469" stopIfTrue="1">
      <formula>ISBLANK(B1)</formula>
    </cfRule>
  </conditionalFormatting>
  <conditionalFormatting sqref="Y36:Z38">
    <cfRule type="expression" dxfId="456" priority="253" stopIfTrue="1">
      <formula>#REF!&lt;#REF!</formula>
    </cfRule>
    <cfRule type="expression" dxfId="455" priority="252" stopIfTrue="1">
      <formula>#REF!&gt;#REF!</formula>
    </cfRule>
  </conditionalFormatting>
  <conditionalFormatting sqref="Y40:Z42">
    <cfRule type="expression" dxfId="454" priority="251" stopIfTrue="1">
      <formula>#REF!&lt;#REF!</formula>
    </cfRule>
    <cfRule type="expression" dxfId="453" priority="250" stopIfTrue="1">
      <formula>#REF!&gt;#REF!</formula>
    </cfRule>
  </conditionalFormatting>
  <conditionalFormatting sqref="Y44:Z46">
    <cfRule type="expression" dxfId="452" priority="248" stopIfTrue="1">
      <formula>#REF!&gt;#REF!</formula>
    </cfRule>
    <cfRule type="expression" dxfId="451" priority="249" stopIfTrue="1">
      <formula>#REF!&lt;#REF!</formula>
    </cfRule>
  </conditionalFormatting>
  <conditionalFormatting sqref="Y48:Z50">
    <cfRule type="expression" dxfId="450" priority="247" stopIfTrue="1">
      <formula>#REF!&lt;#REF!</formula>
    </cfRule>
    <cfRule type="expression" dxfId="449" priority="246" stopIfTrue="1">
      <formula>#REF!&gt;#REF!</formula>
    </cfRule>
  </conditionalFormatting>
  <conditionalFormatting sqref="Y52:Z54">
    <cfRule type="expression" dxfId="448" priority="48" stopIfTrue="1">
      <formula>#REF!&gt;#REF!</formula>
    </cfRule>
    <cfRule type="expression" dxfId="447" priority="49" stopIfTrue="1">
      <formula>#REF!&lt;#REF!</formula>
    </cfRule>
  </conditionalFormatting>
  <conditionalFormatting sqref="Y56:Z58">
    <cfRule type="expression" dxfId="446" priority="47" stopIfTrue="1">
      <formula>#REF!&lt;#REF!</formula>
    </cfRule>
    <cfRule type="expression" dxfId="445" priority="46" stopIfTrue="1">
      <formula>#REF!&gt;#REF!</formula>
    </cfRule>
  </conditionalFormatting>
  <conditionalFormatting sqref="Y4:AA27 Y32:AA35">
    <cfRule type="expression" dxfId="444" priority="1216" stopIfTrue="1">
      <formula>ISBLANK(A1)</formula>
    </cfRule>
  </conditionalFormatting>
  <conditionalFormatting sqref="Y28:AA31">
    <cfRule type="expression" dxfId="443" priority="1218" stopIfTrue="1">
      <formula>ISBLANK(A1)</formula>
    </cfRule>
  </conditionalFormatting>
  <conditionalFormatting sqref="Y39:AA39 Y43:AA43 Y47:AA47 Y51:AA51 Y55:AA55 Y59:AA59 Y64:AA67">
    <cfRule type="expression" dxfId="442" priority="1069" stopIfTrue="1">
      <formula>ISBLANK(A4)</formula>
    </cfRule>
  </conditionalFormatting>
  <conditionalFormatting sqref="Y60:AA63">
    <cfRule type="expression" dxfId="441" priority="1076" stopIfTrue="1">
      <formula>ISBLANK(A1)</formula>
    </cfRule>
  </conditionalFormatting>
  <conditionalFormatting sqref="AA36:AA38 AA40:AA42 AA44:AA46 AA48:AA50 AA52:AA54 AA56:AA58">
    <cfRule type="expression" dxfId="440" priority="467" stopIfTrue="1">
      <formula>ISBLANK(B1)</formula>
    </cfRule>
  </conditionalFormatting>
  <conditionalFormatting sqref="AC36:AD38">
    <cfRule type="expression" dxfId="439" priority="292" stopIfTrue="1">
      <formula>#REF!&gt;#REF!</formula>
    </cfRule>
    <cfRule type="expression" dxfId="438" priority="293" stopIfTrue="1">
      <formula>#REF!&lt;#REF!</formula>
    </cfRule>
  </conditionalFormatting>
  <conditionalFormatting sqref="AC40:AD42">
    <cfRule type="expression" dxfId="437" priority="290" stopIfTrue="1">
      <formula>#REF!&gt;#REF!</formula>
    </cfRule>
    <cfRule type="expression" dxfId="436" priority="291" stopIfTrue="1">
      <formula>#REF!&lt;#REF!</formula>
    </cfRule>
  </conditionalFormatting>
  <conditionalFormatting sqref="AC44:AD46">
    <cfRule type="expression" dxfId="435" priority="289" stopIfTrue="1">
      <formula>#REF!&lt;#REF!</formula>
    </cfRule>
    <cfRule type="expression" dxfId="434" priority="288" stopIfTrue="1">
      <formula>#REF!&gt;#REF!</formula>
    </cfRule>
  </conditionalFormatting>
  <conditionalFormatting sqref="AC48:AD50">
    <cfRule type="expression" dxfId="433" priority="287" stopIfTrue="1">
      <formula>#REF!&lt;#REF!</formula>
    </cfRule>
    <cfRule type="expression" dxfId="432" priority="286" stopIfTrue="1">
      <formula>#REF!&gt;#REF!</formula>
    </cfRule>
  </conditionalFormatting>
  <conditionalFormatting sqref="AC52:AD54">
    <cfRule type="expression" dxfId="431" priority="95" stopIfTrue="1">
      <formula>#REF!&lt;#REF!</formula>
    </cfRule>
    <cfRule type="expression" dxfId="430" priority="94" stopIfTrue="1">
      <formula>#REF!&gt;#REF!</formula>
    </cfRule>
  </conditionalFormatting>
  <conditionalFormatting sqref="AC56:AD58">
    <cfRule type="expression" dxfId="429" priority="93" stopIfTrue="1">
      <formula>#REF!&lt;#REF!</formula>
    </cfRule>
    <cfRule type="expression" dxfId="428" priority="92" stopIfTrue="1">
      <formula>#REF!&gt;#REF!</formula>
    </cfRule>
  </conditionalFormatting>
  <conditionalFormatting sqref="AC4:AE27 AC32:AE35">
    <cfRule type="expression" dxfId="427" priority="1219" stopIfTrue="1">
      <formula>ISBLANK(A1)</formula>
    </cfRule>
  </conditionalFormatting>
  <conditionalFormatting sqref="AC28:AE31">
    <cfRule type="expression" dxfId="426" priority="1221" stopIfTrue="1">
      <formula>ISBLANK(A1)</formula>
    </cfRule>
  </conditionalFormatting>
  <conditionalFormatting sqref="AC39:AE39 AC43:AE43 AC47:AE47 AC51:AE51 AC55:AE55 AC59:AE59 AC64:AE67">
    <cfRule type="expression" dxfId="425" priority="1077" stopIfTrue="1">
      <formula>ISBLANK(A4)</formula>
    </cfRule>
  </conditionalFormatting>
  <conditionalFormatting sqref="AC60:AE63">
    <cfRule type="expression" dxfId="424" priority="1084" stopIfTrue="1">
      <formula>ISBLANK(A1)</formula>
    </cfRule>
  </conditionalFormatting>
  <conditionalFormatting sqref="AE36:AE38 AE40:AE42 AE44:AE46 AE48:AE50 AE52:AE54 AE56:AE58">
    <cfRule type="expression" dxfId="423" priority="465" stopIfTrue="1">
      <formula>ISBLANK(B1)</formula>
    </cfRule>
  </conditionalFormatting>
  <conditionalFormatting sqref="AG36:AH38">
    <cfRule type="expression" dxfId="422" priority="268" stopIfTrue="1">
      <formula>#REF!&gt;#REF!</formula>
    </cfRule>
    <cfRule type="expression" dxfId="421" priority="269" stopIfTrue="1">
      <formula>#REF!&lt;#REF!</formula>
    </cfRule>
  </conditionalFormatting>
  <conditionalFormatting sqref="AG40:AH42">
    <cfRule type="expression" dxfId="420" priority="267" stopIfTrue="1">
      <formula>#REF!&lt;#REF!</formula>
    </cfRule>
    <cfRule type="expression" dxfId="419" priority="266" stopIfTrue="1">
      <formula>#REF!&gt;#REF!</formula>
    </cfRule>
  </conditionalFormatting>
  <conditionalFormatting sqref="AG44:AH46">
    <cfRule type="expression" dxfId="418" priority="265" stopIfTrue="1">
      <formula>#REF!&lt;#REF!</formula>
    </cfRule>
    <cfRule type="expression" dxfId="417" priority="264" stopIfTrue="1">
      <formula>#REF!&gt;#REF!</formula>
    </cfRule>
  </conditionalFormatting>
  <conditionalFormatting sqref="AG48:AH50">
    <cfRule type="expression" dxfId="416" priority="262" stopIfTrue="1">
      <formula>#REF!&gt;#REF!</formula>
    </cfRule>
    <cfRule type="expression" dxfId="415" priority="263" stopIfTrue="1">
      <formula>#REF!&lt;#REF!</formula>
    </cfRule>
  </conditionalFormatting>
  <conditionalFormatting sqref="AG52:AH54">
    <cfRule type="expression" dxfId="414" priority="68" stopIfTrue="1">
      <formula>#REF!&gt;#REF!</formula>
    </cfRule>
    <cfRule type="expression" dxfId="413" priority="69" stopIfTrue="1">
      <formula>#REF!&lt;#REF!</formula>
    </cfRule>
  </conditionalFormatting>
  <conditionalFormatting sqref="AG56:AH58">
    <cfRule type="expression" dxfId="412" priority="66" stopIfTrue="1">
      <formula>#REF!&gt;#REF!</formula>
    </cfRule>
    <cfRule type="expression" dxfId="411" priority="67" stopIfTrue="1">
      <formula>#REF!&lt;#REF!</formula>
    </cfRule>
  </conditionalFormatting>
  <conditionalFormatting sqref="AG4:AI27 AG32:AI35">
    <cfRule type="expression" dxfId="410" priority="1222" stopIfTrue="1">
      <formula>ISBLANK(A1)</formula>
    </cfRule>
  </conditionalFormatting>
  <conditionalFormatting sqref="AG28:AI31">
    <cfRule type="expression" dxfId="409" priority="1224" stopIfTrue="1">
      <formula>ISBLANK(A1)</formula>
    </cfRule>
  </conditionalFormatting>
  <conditionalFormatting sqref="AG39:AI39 AG43:AI43 AG47:AI47 AG51:AI51 AG55:AI55 AG59:AI59 AG64:AI67">
    <cfRule type="expression" dxfId="408" priority="1085" stopIfTrue="1">
      <formula>ISBLANK(A4)</formula>
    </cfRule>
  </conditionalFormatting>
  <conditionalFormatting sqref="AG60:AI63">
    <cfRule type="expression" dxfId="407" priority="1092" stopIfTrue="1">
      <formula>ISBLANK(A1)</formula>
    </cfRule>
  </conditionalFormatting>
  <conditionalFormatting sqref="AI36:AI38 AI40:AI42 AI44:AI46 AI48:AI50 AI52:AI54 AI56:AI58">
    <cfRule type="expression" dxfId="406" priority="463" stopIfTrue="1">
      <formula>ISBLANK(B1)</formula>
    </cfRule>
  </conditionalFormatting>
  <conditionalFormatting sqref="AK36:AL38">
    <cfRule type="expression" dxfId="405" priority="284" stopIfTrue="1">
      <formula>#REF!&gt;#REF!</formula>
    </cfRule>
    <cfRule type="expression" dxfId="404" priority="285" stopIfTrue="1">
      <formula>#REF!&lt;#REF!</formula>
    </cfRule>
  </conditionalFormatting>
  <conditionalFormatting sqref="AK40:AL42">
    <cfRule type="expression" dxfId="403" priority="283" stopIfTrue="1">
      <formula>#REF!&lt;#REF!</formula>
    </cfRule>
    <cfRule type="expression" dxfId="402" priority="282" stopIfTrue="1">
      <formula>#REF!&gt;#REF!</formula>
    </cfRule>
  </conditionalFormatting>
  <conditionalFormatting sqref="AK44:AL46">
    <cfRule type="expression" dxfId="401" priority="281" stopIfTrue="1">
      <formula>#REF!&lt;#REF!</formula>
    </cfRule>
    <cfRule type="expression" dxfId="400" priority="280" stopIfTrue="1">
      <formula>#REF!&gt;#REF!</formula>
    </cfRule>
  </conditionalFormatting>
  <conditionalFormatting sqref="AK48:AL50">
    <cfRule type="expression" dxfId="399" priority="279" stopIfTrue="1">
      <formula>#REF!&lt;#REF!</formula>
    </cfRule>
    <cfRule type="expression" dxfId="398" priority="278" stopIfTrue="1">
      <formula>#REF!&gt;#REF!</formula>
    </cfRule>
  </conditionalFormatting>
  <conditionalFormatting sqref="AK4:AM27 AK32:AM35">
    <cfRule type="expression" dxfId="397" priority="1225" stopIfTrue="1">
      <formula>ISBLANK(A1)</formula>
    </cfRule>
  </conditionalFormatting>
  <conditionalFormatting sqref="AK28:AM31">
    <cfRule type="expression" dxfId="396" priority="1227" stopIfTrue="1">
      <formula>ISBLANK(A1)</formula>
    </cfRule>
  </conditionalFormatting>
  <conditionalFormatting sqref="AK39:AM39 AK43:AM43 AK47:AM47 AK51:AM59 AK64:AM67">
    <cfRule type="expression" dxfId="395" priority="1093" stopIfTrue="1">
      <formula>ISBLANK(A4)</formula>
    </cfRule>
  </conditionalFormatting>
  <conditionalFormatting sqref="AK60:AM63">
    <cfRule type="expression" dxfId="394" priority="1098" stopIfTrue="1">
      <formula>ISBLANK(A1)</formula>
    </cfRule>
  </conditionalFormatting>
  <conditionalFormatting sqref="AM36:AM38 AM40:AM42 AM44:AM46 AM48:AM50">
    <cfRule type="expression" dxfId="393" priority="461" stopIfTrue="1">
      <formula>ISBLANK(B1)</formula>
    </cfRule>
  </conditionalFormatting>
  <conditionalFormatting sqref="AO36:AP38">
    <cfRule type="expression" dxfId="392" priority="261" stopIfTrue="1">
      <formula>#REF!&lt;#REF!</formula>
    </cfRule>
    <cfRule type="expression" dxfId="391" priority="260" stopIfTrue="1">
      <formula>#REF!&gt;#REF!</formula>
    </cfRule>
  </conditionalFormatting>
  <conditionalFormatting sqref="AO40:AP42">
    <cfRule type="expression" dxfId="390" priority="258" stopIfTrue="1">
      <formula>#REF!&gt;#REF!</formula>
    </cfRule>
    <cfRule type="expression" dxfId="389" priority="259" stopIfTrue="1">
      <formula>#REF!&lt;#REF!</formula>
    </cfRule>
  </conditionalFormatting>
  <conditionalFormatting sqref="AO44:AP46">
    <cfRule type="expression" dxfId="388" priority="256" stopIfTrue="1">
      <formula>#REF!&gt;#REF!</formula>
    </cfRule>
    <cfRule type="expression" dxfId="387" priority="257" stopIfTrue="1">
      <formula>#REF!&lt;#REF!</formula>
    </cfRule>
  </conditionalFormatting>
  <conditionalFormatting sqref="AO48:AP50">
    <cfRule type="expression" dxfId="386" priority="255" stopIfTrue="1">
      <formula>#REF!&lt;#REF!</formula>
    </cfRule>
    <cfRule type="expression" dxfId="385" priority="254" stopIfTrue="1">
      <formula>#REF!&gt;#REF!</formula>
    </cfRule>
  </conditionalFormatting>
  <conditionalFormatting sqref="AO52:AP54">
    <cfRule type="expression" dxfId="384" priority="73" stopIfTrue="1">
      <formula>#REF!&lt;#REF!</formula>
    </cfRule>
    <cfRule type="expression" dxfId="383" priority="72" stopIfTrue="1">
      <formula>#REF!&gt;#REF!</formula>
    </cfRule>
  </conditionalFormatting>
  <conditionalFormatting sqref="AO56:AP58">
    <cfRule type="expression" dxfId="382" priority="71" stopIfTrue="1">
      <formula>#REF!&lt;#REF!</formula>
    </cfRule>
    <cfRule type="expression" dxfId="381" priority="70" stopIfTrue="1">
      <formula>#REF!&gt;#REF!</formula>
    </cfRule>
  </conditionalFormatting>
  <conditionalFormatting sqref="AO4:AQ27 AO32:AQ35">
    <cfRule type="expression" dxfId="380" priority="1228" stopIfTrue="1">
      <formula>ISBLANK(A1)</formula>
    </cfRule>
  </conditionalFormatting>
  <conditionalFormatting sqref="AO28:AQ31">
    <cfRule type="expression" dxfId="379" priority="1230" stopIfTrue="1">
      <formula>ISBLANK(A1)</formula>
    </cfRule>
  </conditionalFormatting>
  <conditionalFormatting sqref="AO39:AQ39 AO43:AQ43 AO47:AQ47 AO51:AQ51 AO55:AQ55 AO59:AQ59 AO64:AQ67">
    <cfRule type="expression" dxfId="378" priority="1099" stopIfTrue="1">
      <formula>ISBLANK(A4)</formula>
    </cfRule>
  </conditionalFormatting>
  <conditionalFormatting sqref="AO60:AQ63">
    <cfRule type="expression" dxfId="377" priority="1106" stopIfTrue="1">
      <formula>ISBLANK(A1)</formula>
    </cfRule>
  </conditionalFormatting>
  <conditionalFormatting sqref="AQ36:AQ38 AQ40:AQ42 AQ44:AQ46 AQ48:AQ50 AQ52:AQ54 AQ56:AQ58">
    <cfRule type="expression" dxfId="376" priority="459" stopIfTrue="1">
      <formula>ISBLANK(B1)</formula>
    </cfRule>
  </conditionalFormatting>
  <conditionalFormatting sqref="AS36:AT38">
    <cfRule type="expression" dxfId="375" priority="276" stopIfTrue="1">
      <formula>#REF!&gt;#REF!</formula>
    </cfRule>
    <cfRule type="expression" dxfId="374" priority="277" stopIfTrue="1">
      <formula>#REF!&lt;#REF!</formula>
    </cfRule>
  </conditionalFormatting>
  <conditionalFormatting sqref="AS40:AT42">
    <cfRule type="expression" dxfId="373" priority="275" stopIfTrue="1">
      <formula>#REF!&lt;#REF!</formula>
    </cfRule>
    <cfRule type="expression" dxfId="372" priority="274" stopIfTrue="1">
      <formula>#REF!&gt;#REF!</formula>
    </cfRule>
  </conditionalFormatting>
  <conditionalFormatting sqref="AS44:AT46">
    <cfRule type="expression" dxfId="371" priority="272" stopIfTrue="1">
      <formula>#REF!&gt;#REF!</formula>
    </cfRule>
    <cfRule type="expression" dxfId="370" priority="273" stopIfTrue="1">
      <formula>#REF!&lt;#REF!</formula>
    </cfRule>
  </conditionalFormatting>
  <conditionalFormatting sqref="AS48:AT50">
    <cfRule type="expression" dxfId="369" priority="270" stopIfTrue="1">
      <formula>#REF!&gt;#REF!</formula>
    </cfRule>
    <cfRule type="expression" dxfId="368" priority="271" stopIfTrue="1">
      <formula>#REF!&lt;#REF!</formula>
    </cfRule>
  </conditionalFormatting>
  <conditionalFormatting sqref="AS52:AT54">
    <cfRule type="expression" dxfId="367" priority="65" stopIfTrue="1">
      <formula>#REF!&lt;#REF!</formula>
    </cfRule>
    <cfRule type="expression" dxfId="366" priority="64" stopIfTrue="1">
      <formula>#REF!&gt;#REF!</formula>
    </cfRule>
  </conditionalFormatting>
  <conditionalFormatting sqref="AS56:AT58">
    <cfRule type="expression" dxfId="365" priority="63" stopIfTrue="1">
      <formula>#REF!&lt;#REF!</formula>
    </cfRule>
    <cfRule type="expression" dxfId="364" priority="62" stopIfTrue="1">
      <formula>#REF!&gt;#REF!</formula>
    </cfRule>
  </conditionalFormatting>
  <conditionalFormatting sqref="AS4:AU27 AS32:AU35">
    <cfRule type="expression" dxfId="363" priority="1231" stopIfTrue="1">
      <formula>ISBLANK(A1)</formula>
    </cfRule>
  </conditionalFormatting>
  <conditionalFormatting sqref="AS28:AU31">
    <cfRule type="expression" dxfId="362" priority="1233" stopIfTrue="1">
      <formula>ISBLANK(A1)</formula>
    </cfRule>
  </conditionalFormatting>
  <conditionalFormatting sqref="AS39:AU39 AS43:AU43 AS47:AU47 AS51:AU51 AS55:AU55 AS59:AU59 AS64:AU67">
    <cfRule type="expression" dxfId="361" priority="1107" stopIfTrue="1">
      <formula>ISBLANK(A4)</formula>
    </cfRule>
  </conditionalFormatting>
  <conditionalFormatting sqref="AS60:AU63">
    <cfRule type="expression" dxfId="360" priority="1114" stopIfTrue="1">
      <formula>ISBLANK(A1)</formula>
    </cfRule>
  </conditionalFormatting>
  <conditionalFormatting sqref="AU36:AU38 AU40:AU42 AU44:AU46 AU48:AU50 AU52:AU54 AU56:AU58">
    <cfRule type="expression" dxfId="359" priority="457" stopIfTrue="1">
      <formula>ISBLANK(B1)</formula>
    </cfRule>
  </conditionalFormatting>
  <conditionalFormatting sqref="AW36:AX38">
    <cfRule type="expression" dxfId="358" priority="119" stopIfTrue="1">
      <formula>#REF!&lt;#REF!</formula>
    </cfRule>
    <cfRule type="expression" dxfId="357" priority="118" stopIfTrue="1">
      <formula>#REF!&gt;#REF!</formula>
    </cfRule>
  </conditionalFormatting>
  <conditionalFormatting sqref="AW40:AX42">
    <cfRule type="expression" dxfId="356" priority="117" stopIfTrue="1">
      <formula>#REF!&lt;#REF!</formula>
    </cfRule>
    <cfRule type="expression" dxfId="355" priority="116" stopIfTrue="1">
      <formula>#REF!&gt;#REF!</formula>
    </cfRule>
  </conditionalFormatting>
  <conditionalFormatting sqref="AW44:AX46">
    <cfRule type="expression" dxfId="354" priority="115" stopIfTrue="1">
      <formula>#REF!&lt;#REF!</formula>
    </cfRule>
    <cfRule type="expression" dxfId="353" priority="114" stopIfTrue="1">
      <formula>#REF!&gt;#REF!</formula>
    </cfRule>
  </conditionalFormatting>
  <conditionalFormatting sqref="AW48:AX50">
    <cfRule type="expression" dxfId="352" priority="112" stopIfTrue="1">
      <formula>#REF!&gt;#REF!</formula>
    </cfRule>
    <cfRule type="expression" dxfId="351" priority="113" stopIfTrue="1">
      <formula>#REF!&lt;#REF!</formula>
    </cfRule>
  </conditionalFormatting>
  <conditionalFormatting sqref="AW52:AX54">
    <cfRule type="expression" dxfId="350" priority="78" stopIfTrue="1">
      <formula>#REF!&gt;#REF!</formula>
    </cfRule>
    <cfRule type="expression" dxfId="349" priority="79" stopIfTrue="1">
      <formula>#REF!&lt;#REF!</formula>
    </cfRule>
  </conditionalFormatting>
  <conditionalFormatting sqref="AW56:AX58">
    <cfRule type="expression" dxfId="348" priority="77" stopIfTrue="1">
      <formula>#REF!&lt;#REF!</formula>
    </cfRule>
    <cfRule type="expression" dxfId="347" priority="76" stopIfTrue="1">
      <formula>#REF!&gt;#REF!</formula>
    </cfRule>
  </conditionalFormatting>
  <conditionalFormatting sqref="AW4:AY27 AW32:AY35">
    <cfRule type="expression" dxfId="346" priority="1234" stopIfTrue="1">
      <formula>ISBLANK(A1)</formula>
    </cfRule>
  </conditionalFormatting>
  <conditionalFormatting sqref="AW28:AY31">
    <cfRule type="expression" dxfId="345" priority="1236" stopIfTrue="1">
      <formula>ISBLANK(A1)</formula>
    </cfRule>
  </conditionalFormatting>
  <conditionalFormatting sqref="AW39:AY39 AW43:AY43 AW47:AY47 AW51:AY51 AW55:AY55 AW59:AY59 AW64:AY67">
    <cfRule type="expression" dxfId="344" priority="1115" stopIfTrue="1">
      <formula>ISBLANK(A4)</formula>
    </cfRule>
  </conditionalFormatting>
  <conditionalFormatting sqref="AW60:AY63">
    <cfRule type="expression" dxfId="343" priority="1122" stopIfTrue="1">
      <formula>ISBLANK(A1)</formula>
    </cfRule>
  </conditionalFormatting>
  <conditionalFormatting sqref="AY36:AY38 AY40:AY42 AY44:AY46 AY48:AY50 AY52:AY54 AY56:AY58">
    <cfRule type="expression" dxfId="342" priority="453" stopIfTrue="1">
      <formula>ISBLANK(B1)</formula>
    </cfRule>
  </conditionalFormatting>
  <conditionalFormatting sqref="BA36:BB38">
    <cfRule type="expression" dxfId="341" priority="180" stopIfTrue="1">
      <formula>#REF!&gt;#REF!</formula>
    </cfRule>
    <cfRule type="expression" dxfId="340" priority="181" stopIfTrue="1">
      <formula>#REF!&lt;#REF!</formula>
    </cfRule>
  </conditionalFormatting>
  <conditionalFormatting sqref="BA40:BB42">
    <cfRule type="expression" dxfId="339" priority="179" stopIfTrue="1">
      <formula>#REF!&lt;#REF!</formula>
    </cfRule>
    <cfRule type="expression" dxfId="338" priority="178" stopIfTrue="1">
      <formula>#REF!&gt;#REF!</formula>
    </cfRule>
  </conditionalFormatting>
  <conditionalFormatting sqref="BA44:BB46">
    <cfRule type="expression" dxfId="337" priority="176" stopIfTrue="1">
      <formula>#REF!&gt;#REF!</formula>
    </cfRule>
    <cfRule type="expression" dxfId="336" priority="177" stopIfTrue="1">
      <formula>#REF!&lt;#REF!</formula>
    </cfRule>
  </conditionalFormatting>
  <conditionalFormatting sqref="BA48:BB50">
    <cfRule type="expression" dxfId="335" priority="174" stopIfTrue="1">
      <formula>#REF!&gt;#REF!</formula>
    </cfRule>
    <cfRule type="expression" dxfId="334" priority="175" stopIfTrue="1">
      <formula>#REF!&lt;#REF!</formula>
    </cfRule>
  </conditionalFormatting>
  <conditionalFormatting sqref="BA4:BC27 BA32:BC35">
    <cfRule type="expression" dxfId="333" priority="1237" stopIfTrue="1">
      <formula>ISBLANK(A1)</formula>
    </cfRule>
  </conditionalFormatting>
  <conditionalFormatting sqref="BA28:BC31">
    <cfRule type="expression" dxfId="332" priority="1239" stopIfTrue="1">
      <formula>ISBLANK(A1)</formula>
    </cfRule>
  </conditionalFormatting>
  <conditionalFormatting sqref="BA39:BC39 BA43:BC43 BA47:BC47 BA51:BC59 BA64:BC67">
    <cfRule type="expression" dxfId="331" priority="1123" stopIfTrue="1">
      <formula>ISBLANK(A4)</formula>
    </cfRule>
  </conditionalFormatting>
  <conditionalFormatting sqref="BA60:BC63">
    <cfRule type="expression" dxfId="330" priority="1128" stopIfTrue="1">
      <formula>ISBLANK(A1)</formula>
    </cfRule>
  </conditionalFormatting>
  <conditionalFormatting sqref="BC36:BC38 BC40:BC42 BC44:BC46 BC48:BC50">
    <cfRule type="expression" dxfId="329" priority="451" stopIfTrue="1">
      <formula>ISBLANK(B1)</formula>
    </cfRule>
  </conditionalFormatting>
  <conditionalFormatting sqref="BE36:BF38">
    <cfRule type="expression" dxfId="328" priority="157" stopIfTrue="1">
      <formula>#REF!&lt;#REF!</formula>
    </cfRule>
    <cfRule type="expression" dxfId="327" priority="156" stopIfTrue="1">
      <formula>#REF!&gt;#REF!</formula>
    </cfRule>
  </conditionalFormatting>
  <conditionalFormatting sqref="BE40:BF42">
    <cfRule type="expression" dxfId="326" priority="155" stopIfTrue="1">
      <formula>#REF!&lt;#REF!</formula>
    </cfRule>
    <cfRule type="expression" dxfId="325" priority="154" stopIfTrue="1">
      <formula>#REF!&gt;#REF!</formula>
    </cfRule>
  </conditionalFormatting>
  <conditionalFormatting sqref="BE44:BF46">
    <cfRule type="expression" dxfId="324" priority="153" stopIfTrue="1">
      <formula>#REF!&lt;#REF!</formula>
    </cfRule>
    <cfRule type="expression" dxfId="323" priority="152" stopIfTrue="1">
      <formula>#REF!&gt;#REF!</formula>
    </cfRule>
  </conditionalFormatting>
  <conditionalFormatting sqref="BE48:BF50">
    <cfRule type="expression" dxfId="322" priority="151" stopIfTrue="1">
      <formula>#REF!&lt;#REF!</formula>
    </cfRule>
    <cfRule type="expression" dxfId="321" priority="150" stopIfTrue="1">
      <formula>#REF!&gt;#REF!</formula>
    </cfRule>
  </conditionalFormatting>
  <conditionalFormatting sqref="BE52:BF54">
    <cfRule type="expression" dxfId="320" priority="45" stopIfTrue="1">
      <formula>#REF!&lt;#REF!</formula>
    </cfRule>
    <cfRule type="expression" dxfId="319" priority="44" stopIfTrue="1">
      <formula>#REF!&gt;#REF!</formula>
    </cfRule>
  </conditionalFormatting>
  <conditionalFormatting sqref="BE56:BF58">
    <cfRule type="expression" dxfId="318" priority="42" stopIfTrue="1">
      <formula>#REF!&gt;#REF!</formula>
    </cfRule>
    <cfRule type="expression" dxfId="317" priority="43" stopIfTrue="1">
      <formula>#REF!&lt;#REF!</formula>
    </cfRule>
  </conditionalFormatting>
  <conditionalFormatting sqref="BE4:BG27 BE32:BG35">
    <cfRule type="expression" dxfId="316" priority="1240" stopIfTrue="1">
      <formula>ISBLANK(A1)</formula>
    </cfRule>
  </conditionalFormatting>
  <conditionalFormatting sqref="BE28:BG31">
    <cfRule type="expression" dxfId="315" priority="1242" stopIfTrue="1">
      <formula>ISBLANK(A1)</formula>
    </cfRule>
  </conditionalFormatting>
  <conditionalFormatting sqref="BE39:BG39 BE43:BG43 BE47:BG47 BE51:BG51 BE55:BG55 BE59:BG59 BE64:BG67">
    <cfRule type="expression" dxfId="314" priority="1129" stopIfTrue="1">
      <formula>ISBLANK(A4)</formula>
    </cfRule>
  </conditionalFormatting>
  <conditionalFormatting sqref="BE60:BG63">
    <cfRule type="expression" dxfId="313" priority="1136" stopIfTrue="1">
      <formula>ISBLANK(A1)</formula>
    </cfRule>
  </conditionalFormatting>
  <conditionalFormatting sqref="BG36:BG38 BG40:BG42 BG44:BG46 BG48:BG50 BG52:BG54 BG56:BG58">
    <cfRule type="expression" dxfId="312" priority="449" stopIfTrue="1">
      <formula>ISBLANK(B1)</formula>
    </cfRule>
  </conditionalFormatting>
  <conditionalFormatting sqref="BI36:BJ38">
    <cfRule type="expression" dxfId="311" priority="140" stopIfTrue="1">
      <formula>#REF!&gt;#REF!</formula>
    </cfRule>
    <cfRule type="expression" dxfId="310" priority="141" stopIfTrue="1">
      <formula>#REF!&lt;#REF!</formula>
    </cfRule>
  </conditionalFormatting>
  <conditionalFormatting sqref="BI40:BJ42">
    <cfRule type="expression" dxfId="309" priority="138" stopIfTrue="1">
      <formula>#REF!&gt;#REF!</formula>
    </cfRule>
    <cfRule type="expression" dxfId="308" priority="139" stopIfTrue="1">
      <formula>#REF!&lt;#REF!</formula>
    </cfRule>
  </conditionalFormatting>
  <conditionalFormatting sqref="BI44:BJ46">
    <cfRule type="expression" dxfId="307" priority="137" stopIfTrue="1">
      <formula>#REF!&lt;#REF!</formula>
    </cfRule>
    <cfRule type="expression" dxfId="306" priority="136" stopIfTrue="1">
      <formula>#REF!&gt;#REF!</formula>
    </cfRule>
  </conditionalFormatting>
  <conditionalFormatting sqref="BI48:BJ50">
    <cfRule type="expression" dxfId="305" priority="135" stopIfTrue="1">
      <formula>#REF!&lt;#REF!</formula>
    </cfRule>
    <cfRule type="expression" dxfId="304" priority="134" stopIfTrue="1">
      <formula>#REF!&gt;#REF!</formula>
    </cfRule>
  </conditionalFormatting>
  <conditionalFormatting sqref="BI4:BK27 BI32:BK35">
    <cfRule type="expression" dxfId="303" priority="1243" stopIfTrue="1">
      <formula>ISBLANK(A1)</formula>
    </cfRule>
  </conditionalFormatting>
  <conditionalFormatting sqref="BI28:BK31">
    <cfRule type="expression" dxfId="302" priority="1245" stopIfTrue="1">
      <formula>ISBLANK(A1)</formula>
    </cfRule>
  </conditionalFormatting>
  <conditionalFormatting sqref="BI39:BK39 BI43:BK43 BI47:BK47 BI51:BK59 BI64:BK67">
    <cfRule type="expression" dxfId="301" priority="1137" stopIfTrue="1">
      <formula>ISBLANK(A4)</formula>
    </cfRule>
  </conditionalFormatting>
  <conditionalFormatting sqref="BI60:BK63">
    <cfRule type="expression" dxfId="300" priority="1142" stopIfTrue="1">
      <formula>ISBLANK(A1)</formula>
    </cfRule>
  </conditionalFormatting>
  <conditionalFormatting sqref="BK36:BK38 BK40:BK42 BK44:BK46 BK48:BK50">
    <cfRule type="expression" dxfId="299" priority="447" stopIfTrue="1">
      <formula>ISBLANK(B1)</formula>
    </cfRule>
  </conditionalFormatting>
  <conditionalFormatting sqref="BM4:BO27 BM32:BO35">
    <cfRule type="expression" dxfId="298" priority="1246" stopIfTrue="1">
      <formula>ISBLANK(A1)</formula>
    </cfRule>
  </conditionalFormatting>
  <conditionalFormatting sqref="BM28:BO31">
    <cfRule type="expression" dxfId="297" priority="1248" stopIfTrue="1">
      <formula>ISBLANK(A1)</formula>
    </cfRule>
  </conditionalFormatting>
  <conditionalFormatting sqref="BM36:BO59 BM64:BO67">
    <cfRule type="expression" dxfId="296" priority="1143" stopIfTrue="1">
      <formula>ISBLANK(A1)</formula>
    </cfRule>
  </conditionalFormatting>
  <conditionalFormatting sqref="BM60:BO63">
    <cfRule type="expression" dxfId="295" priority="1145" stopIfTrue="1">
      <formula>ISBLANK(A1)</formula>
    </cfRule>
  </conditionalFormatting>
  <conditionalFormatting sqref="BQ4:BS27 BQ32:BS35">
    <cfRule type="expression" dxfId="294" priority="1249" stopIfTrue="1">
      <formula>ISBLANK(A1)</formula>
    </cfRule>
  </conditionalFormatting>
  <conditionalFormatting sqref="BQ28:BS31">
    <cfRule type="expression" dxfId="293" priority="1251" stopIfTrue="1">
      <formula>ISBLANK(A1)</formula>
    </cfRule>
  </conditionalFormatting>
  <conditionalFormatting sqref="BQ36:BS59 BQ64:BS67">
    <cfRule type="expression" dxfId="292" priority="1146" stopIfTrue="1">
      <formula>ISBLANK(A1)</formula>
    </cfRule>
  </conditionalFormatting>
  <conditionalFormatting sqref="BQ60:BS63">
    <cfRule type="expression" dxfId="291" priority="1148" stopIfTrue="1">
      <formula>ISBLANK(A1)</formula>
    </cfRule>
  </conditionalFormatting>
  <conditionalFormatting sqref="BU36:BV38">
    <cfRule type="expression" dxfId="290" priority="300" stopIfTrue="1">
      <formula>#REF!&gt;#REF!</formula>
    </cfRule>
    <cfRule type="expression" dxfId="289" priority="301" stopIfTrue="1">
      <formula>#REF!&lt;#REF!</formula>
    </cfRule>
  </conditionalFormatting>
  <conditionalFormatting sqref="BU40:BV42">
    <cfRule type="expression" dxfId="288" priority="298" stopIfTrue="1">
      <formula>#REF!&gt;#REF!</formula>
    </cfRule>
    <cfRule type="expression" dxfId="287" priority="299" stopIfTrue="1">
      <formula>#REF!&lt;#REF!</formula>
    </cfRule>
  </conditionalFormatting>
  <conditionalFormatting sqref="BU44:BV46">
    <cfRule type="expression" dxfId="286" priority="296" stopIfTrue="1">
      <formula>#REF!&gt;#REF!</formula>
    </cfRule>
    <cfRule type="expression" dxfId="285" priority="297" stopIfTrue="1">
      <formula>#REF!&lt;#REF!</formula>
    </cfRule>
  </conditionalFormatting>
  <conditionalFormatting sqref="BU48:BV50">
    <cfRule type="expression" dxfId="284" priority="294" stopIfTrue="1">
      <formula>#REF!&gt;#REF!</formula>
    </cfRule>
    <cfRule type="expression" dxfId="283" priority="295" stopIfTrue="1">
      <formula>#REF!&lt;#REF!</formula>
    </cfRule>
  </conditionalFormatting>
  <conditionalFormatting sqref="BU52:BV54">
    <cfRule type="expression" dxfId="282" priority="82" stopIfTrue="1">
      <formula>#REF!&gt;#REF!</formula>
    </cfRule>
    <cfRule type="expression" dxfId="281" priority="83" stopIfTrue="1">
      <formula>#REF!&lt;#REF!</formula>
    </cfRule>
  </conditionalFormatting>
  <conditionalFormatting sqref="BU56:BV58">
    <cfRule type="expression" dxfId="280" priority="80" stopIfTrue="1">
      <formula>#REF!&gt;#REF!</formula>
    </cfRule>
    <cfRule type="expression" dxfId="279" priority="81" stopIfTrue="1">
      <formula>#REF!&lt;#REF!</formula>
    </cfRule>
  </conditionalFormatting>
  <conditionalFormatting sqref="BU4:BW27 BU32:BW35">
    <cfRule type="expression" dxfId="278" priority="1252" stopIfTrue="1">
      <formula>ISBLANK(A1)</formula>
    </cfRule>
  </conditionalFormatting>
  <conditionalFormatting sqref="BU28:BW31">
    <cfRule type="expression" dxfId="277" priority="1254" stopIfTrue="1">
      <formula>ISBLANK(A1)</formula>
    </cfRule>
  </conditionalFormatting>
  <conditionalFormatting sqref="BU39:BW39 BU43:BW43 BU47:BW47 BU51:BW51 BU55:BW55 BU59:BW59 BU64:BW67">
    <cfRule type="expression" dxfId="276" priority="1149" stopIfTrue="1">
      <formula>ISBLANK(A4)</formula>
    </cfRule>
  </conditionalFormatting>
  <conditionalFormatting sqref="BU60:BW63">
    <cfRule type="expression" dxfId="275" priority="1156" stopIfTrue="1">
      <formula>ISBLANK(A1)</formula>
    </cfRule>
  </conditionalFormatting>
  <conditionalFormatting sqref="BW36:BW38 BW40:BW42 BW44:BW46 BW48:BW50 BW52:BW54 BW56:BW58">
    <cfRule type="expression" dxfId="274" priority="441" stopIfTrue="1">
      <formula>ISBLANK(B1)</formula>
    </cfRule>
  </conditionalFormatting>
  <conditionalFormatting sqref="BY36:BZ38">
    <cfRule type="expression" dxfId="273" priority="213" stopIfTrue="1">
      <formula>#REF!&lt;#REF!</formula>
    </cfRule>
    <cfRule type="expression" dxfId="272" priority="212" stopIfTrue="1">
      <formula>#REF!&gt;#REF!</formula>
    </cfRule>
  </conditionalFormatting>
  <conditionalFormatting sqref="BY40:BZ42">
    <cfRule type="expression" dxfId="271" priority="210" stopIfTrue="1">
      <formula>#REF!&gt;#REF!</formula>
    </cfRule>
    <cfRule type="expression" dxfId="270" priority="211" stopIfTrue="1">
      <formula>#REF!&lt;#REF!</formula>
    </cfRule>
  </conditionalFormatting>
  <conditionalFormatting sqref="BY44:BZ46">
    <cfRule type="expression" dxfId="269" priority="209" stopIfTrue="1">
      <formula>#REF!&lt;#REF!</formula>
    </cfRule>
    <cfRule type="expression" dxfId="268" priority="208" stopIfTrue="1">
      <formula>#REF!&gt;#REF!</formula>
    </cfRule>
  </conditionalFormatting>
  <conditionalFormatting sqref="BY48:BZ50">
    <cfRule type="expression" dxfId="267" priority="207" stopIfTrue="1">
      <formula>#REF!&lt;#REF!</formula>
    </cfRule>
    <cfRule type="expression" dxfId="266" priority="206" stopIfTrue="1">
      <formula>#REF!&gt;#REF!</formula>
    </cfRule>
  </conditionalFormatting>
  <conditionalFormatting sqref="BY52:BZ54">
    <cfRule type="expression" dxfId="265" priority="61" stopIfTrue="1">
      <formula>#REF!&lt;#REF!</formula>
    </cfRule>
    <cfRule type="expression" dxfId="264" priority="60" stopIfTrue="1">
      <formula>#REF!&gt;#REF!</formula>
    </cfRule>
  </conditionalFormatting>
  <conditionalFormatting sqref="BY56:BZ58">
    <cfRule type="expression" dxfId="263" priority="58" stopIfTrue="1">
      <formula>#REF!&gt;#REF!</formula>
    </cfRule>
    <cfRule type="expression" dxfId="262" priority="59" stopIfTrue="1">
      <formula>#REF!&lt;#REF!</formula>
    </cfRule>
  </conditionalFormatting>
  <conditionalFormatting sqref="BY4:CA27 BY32:CA35">
    <cfRule type="expression" dxfId="261" priority="1255" stopIfTrue="1">
      <formula>ISBLANK(A1)</formula>
    </cfRule>
  </conditionalFormatting>
  <conditionalFormatting sqref="BY28:CA31">
    <cfRule type="expression" dxfId="260" priority="1257" stopIfTrue="1">
      <formula>ISBLANK(A1)</formula>
    </cfRule>
  </conditionalFormatting>
  <conditionalFormatting sqref="BY39:CA39 BY43:CA43 BY47:CA47 BY51:CA51 BY55:CA55 BY59:CA59 BY64:CA67">
    <cfRule type="expression" dxfId="259" priority="1157" stopIfTrue="1">
      <formula>ISBLANK(A4)</formula>
    </cfRule>
  </conditionalFormatting>
  <conditionalFormatting sqref="BY60:CA63">
    <cfRule type="expression" dxfId="258" priority="1164" stopIfTrue="1">
      <formula>ISBLANK(A1)</formula>
    </cfRule>
  </conditionalFormatting>
  <conditionalFormatting sqref="CA36:CA38 CA40:CA42 CA44:CA46 CA48:CA50 CA52:CA54 CA56:CA58">
    <cfRule type="expression" dxfId="257" priority="439" stopIfTrue="1">
      <formula>ISBLANK(B1)</formula>
    </cfRule>
  </conditionalFormatting>
  <conditionalFormatting sqref="CC36:CD38">
    <cfRule type="expression" dxfId="256" priority="165" stopIfTrue="1">
      <formula>#REF!&lt;#REF!</formula>
    </cfRule>
    <cfRule type="expression" dxfId="255" priority="164" stopIfTrue="1">
      <formula>#REF!&gt;#REF!</formula>
    </cfRule>
  </conditionalFormatting>
  <conditionalFormatting sqref="CC40:CD42">
    <cfRule type="expression" dxfId="254" priority="163" stopIfTrue="1">
      <formula>#REF!&lt;#REF!</formula>
    </cfRule>
    <cfRule type="expression" dxfId="253" priority="162" stopIfTrue="1">
      <formula>#REF!&gt;#REF!</formula>
    </cfRule>
  </conditionalFormatting>
  <conditionalFormatting sqref="CC44:CD46">
    <cfRule type="expression" dxfId="252" priority="161" stopIfTrue="1">
      <formula>#REF!&lt;#REF!</formula>
    </cfRule>
    <cfRule type="expression" dxfId="251" priority="160" stopIfTrue="1">
      <formula>#REF!&gt;#REF!</formula>
    </cfRule>
  </conditionalFormatting>
  <conditionalFormatting sqref="CC48:CD50">
    <cfRule type="expression" dxfId="250" priority="159" stopIfTrue="1">
      <formula>#REF!&lt;#REF!</formula>
    </cfRule>
    <cfRule type="expression" dxfId="249" priority="158" stopIfTrue="1">
      <formula>#REF!&gt;#REF!</formula>
    </cfRule>
  </conditionalFormatting>
  <conditionalFormatting sqref="CC4:CE27 CC32:CE35">
    <cfRule type="expression" dxfId="248" priority="1258" stopIfTrue="1">
      <formula>ISBLANK(A1)</formula>
    </cfRule>
  </conditionalFormatting>
  <conditionalFormatting sqref="CC28:CE31">
    <cfRule type="expression" dxfId="247" priority="1260" stopIfTrue="1">
      <formula>ISBLANK(A1)</formula>
    </cfRule>
  </conditionalFormatting>
  <conditionalFormatting sqref="CC39:CE39 CC43:CE43 CC47:CE47 CC51:CE59 CC64:CE67">
    <cfRule type="expression" dxfId="246" priority="1165" stopIfTrue="1">
      <formula>ISBLANK(A4)</formula>
    </cfRule>
  </conditionalFormatting>
  <conditionalFormatting sqref="CC60:CE63">
    <cfRule type="expression" dxfId="245" priority="1170" stopIfTrue="1">
      <formula>ISBLANK(A1)</formula>
    </cfRule>
  </conditionalFormatting>
  <conditionalFormatting sqref="CE36:CE38 CE40:CE42 CE44:CE46 CE48:CE50">
    <cfRule type="expression" dxfId="244" priority="437" stopIfTrue="1">
      <formula>ISBLANK(B1)</formula>
    </cfRule>
  </conditionalFormatting>
  <conditionalFormatting sqref="CG36:CH38">
    <cfRule type="expression" dxfId="243" priority="229" stopIfTrue="1">
      <formula>#REF!&lt;#REF!</formula>
    </cfRule>
    <cfRule type="expression" dxfId="242" priority="228" stopIfTrue="1">
      <formula>#REF!&gt;#REF!</formula>
    </cfRule>
  </conditionalFormatting>
  <conditionalFormatting sqref="CG40:CH42">
    <cfRule type="expression" dxfId="241" priority="226" stopIfTrue="1">
      <formula>#REF!&gt;#REF!</formula>
    </cfRule>
    <cfRule type="expression" dxfId="240" priority="227" stopIfTrue="1">
      <formula>#REF!&lt;#REF!</formula>
    </cfRule>
  </conditionalFormatting>
  <conditionalFormatting sqref="CG44:CH46">
    <cfRule type="expression" dxfId="239" priority="224" stopIfTrue="1">
      <formula>#REF!&gt;#REF!</formula>
    </cfRule>
    <cfRule type="expression" dxfId="238" priority="225" stopIfTrue="1">
      <formula>#REF!&lt;#REF!</formula>
    </cfRule>
  </conditionalFormatting>
  <conditionalFormatting sqref="CG48:CH50">
    <cfRule type="expression" dxfId="237" priority="222" stopIfTrue="1">
      <formula>#REF!&gt;#REF!</formula>
    </cfRule>
    <cfRule type="expression" dxfId="236" priority="223" stopIfTrue="1">
      <formula>#REF!&lt;#REF!</formula>
    </cfRule>
  </conditionalFormatting>
  <conditionalFormatting sqref="CG52:CH54">
    <cfRule type="expression" dxfId="235" priority="52" stopIfTrue="1">
      <formula>#REF!&gt;#REF!</formula>
    </cfRule>
    <cfRule type="expression" dxfId="234" priority="53" stopIfTrue="1">
      <formula>#REF!&lt;#REF!</formula>
    </cfRule>
  </conditionalFormatting>
  <conditionalFormatting sqref="CG56:CH58">
    <cfRule type="expression" dxfId="233" priority="50" stopIfTrue="1">
      <formula>#REF!&gt;#REF!</formula>
    </cfRule>
    <cfRule type="expression" dxfId="232" priority="51" stopIfTrue="1">
      <formula>#REF!&lt;#REF!</formula>
    </cfRule>
  </conditionalFormatting>
  <conditionalFormatting sqref="CG4:CI27 CG32:CI35">
    <cfRule type="expression" dxfId="231" priority="1261" stopIfTrue="1">
      <formula>ISBLANK(A1)</formula>
    </cfRule>
  </conditionalFormatting>
  <conditionalFormatting sqref="CG28:CI31">
    <cfRule type="expression" dxfId="230" priority="1263" stopIfTrue="1">
      <formula>ISBLANK(A1)</formula>
    </cfRule>
  </conditionalFormatting>
  <conditionalFormatting sqref="CG39:CI39 CG43:CI43 CG47:CI47 CG51:CI51 CG55:CI55 CG59:CI59 CG64:CI67">
    <cfRule type="expression" dxfId="229" priority="1171" stopIfTrue="1">
      <formula>ISBLANK(A4)</formula>
    </cfRule>
  </conditionalFormatting>
  <conditionalFormatting sqref="CG60:CI63">
    <cfRule type="expression" dxfId="228" priority="1178" stopIfTrue="1">
      <formula>ISBLANK(A1)</formula>
    </cfRule>
  </conditionalFormatting>
  <conditionalFormatting sqref="CI36:CI38 CI40:CI42 CI44:CI46 CI48:CI50 CI52:CI54 CI56:CI58">
    <cfRule type="expression" dxfId="227" priority="435" stopIfTrue="1">
      <formula>ISBLANK(B1)</formula>
    </cfRule>
  </conditionalFormatting>
  <conditionalFormatting sqref="CK36:CL38">
    <cfRule type="expression" dxfId="226" priority="244" stopIfTrue="1">
      <formula>#REF!&gt;#REF!</formula>
    </cfRule>
    <cfRule type="expression" dxfId="225" priority="245" stopIfTrue="1">
      <formula>#REF!&lt;#REF!</formula>
    </cfRule>
  </conditionalFormatting>
  <conditionalFormatting sqref="CK40:CL42">
    <cfRule type="expression" dxfId="224" priority="243" stopIfTrue="1">
      <formula>#REF!&lt;#REF!</formula>
    </cfRule>
    <cfRule type="expression" dxfId="223" priority="242" stopIfTrue="1">
      <formula>#REF!&gt;#REF!</formula>
    </cfRule>
  </conditionalFormatting>
  <conditionalFormatting sqref="CK44:CL46">
    <cfRule type="expression" dxfId="222" priority="241" stopIfTrue="1">
      <formula>#REF!&lt;#REF!</formula>
    </cfRule>
    <cfRule type="expression" dxfId="221" priority="240" stopIfTrue="1">
      <formula>#REF!&gt;#REF!</formula>
    </cfRule>
  </conditionalFormatting>
  <conditionalFormatting sqref="CK48:CL50">
    <cfRule type="expression" dxfId="220" priority="239" stopIfTrue="1">
      <formula>#REF!&lt;#REF!</formula>
    </cfRule>
    <cfRule type="expression" dxfId="219" priority="238" stopIfTrue="1">
      <formula>#REF!&gt;#REF!</formula>
    </cfRule>
  </conditionalFormatting>
  <conditionalFormatting sqref="CK52:CL54">
    <cfRule type="expression" dxfId="218" priority="98" stopIfTrue="1">
      <formula>#REF!&gt;#REF!</formula>
    </cfRule>
    <cfRule type="expression" dxfId="217" priority="99" stopIfTrue="1">
      <formula>#REF!&lt;#REF!</formula>
    </cfRule>
  </conditionalFormatting>
  <conditionalFormatting sqref="CK56:CL58">
    <cfRule type="expression" dxfId="216" priority="96" stopIfTrue="1">
      <formula>#REF!&gt;#REF!</formula>
    </cfRule>
    <cfRule type="expression" dxfId="215" priority="97" stopIfTrue="1">
      <formula>#REF!&lt;#REF!</formula>
    </cfRule>
  </conditionalFormatting>
  <conditionalFormatting sqref="CK4:CM27 CK32:CM35">
    <cfRule type="expression" dxfId="214" priority="1264" stopIfTrue="1">
      <formula>ISBLANK(A1)</formula>
    </cfRule>
  </conditionalFormatting>
  <conditionalFormatting sqref="CK28:CM31">
    <cfRule type="expression" dxfId="213" priority="1266" stopIfTrue="1">
      <formula>ISBLANK(A1)</formula>
    </cfRule>
  </conditionalFormatting>
  <conditionalFormatting sqref="CK39:CM39 CK43:CM43 CK47:CM47 CK51:CM51 CK55:CM55 CK59:CM59 CK64:CM67">
    <cfRule type="expression" dxfId="212" priority="1179" stopIfTrue="1">
      <formula>ISBLANK(A4)</formula>
    </cfRule>
  </conditionalFormatting>
  <conditionalFormatting sqref="CK60:CM63">
    <cfRule type="expression" dxfId="211" priority="1186" stopIfTrue="1">
      <formula>ISBLANK(A1)</formula>
    </cfRule>
  </conditionalFormatting>
  <conditionalFormatting sqref="CM36:CM38 CM40:CM42 CM44:CM46 CM48:CM50 CM52:CM54 CM56:CM58">
    <cfRule type="expression" dxfId="210" priority="433" stopIfTrue="1">
      <formula>ISBLANK(B1)</formula>
    </cfRule>
  </conditionalFormatting>
  <conditionalFormatting sqref="CO36:CP38">
    <cfRule type="expression" dxfId="209" priority="111" stopIfTrue="1">
      <formula>#REF!&lt;#REF!</formula>
    </cfRule>
    <cfRule type="expression" dxfId="208" priority="110" stopIfTrue="1">
      <formula>#REF!&gt;#REF!</formula>
    </cfRule>
  </conditionalFormatting>
  <conditionalFormatting sqref="CO40:CP42">
    <cfRule type="expression" dxfId="207" priority="109" stopIfTrue="1">
      <formula>#REF!&lt;#REF!</formula>
    </cfRule>
    <cfRule type="expression" dxfId="206" priority="108" stopIfTrue="1">
      <formula>#REF!&gt;#REF!</formula>
    </cfRule>
  </conditionalFormatting>
  <conditionalFormatting sqref="CO44:CP46">
    <cfRule type="expression" dxfId="205" priority="107" stopIfTrue="1">
      <formula>#REF!&lt;#REF!</formula>
    </cfRule>
    <cfRule type="expression" dxfId="204" priority="106" stopIfTrue="1">
      <formula>#REF!&gt;#REF!</formula>
    </cfRule>
  </conditionalFormatting>
  <conditionalFormatting sqref="CO48:CP50">
    <cfRule type="expression" dxfId="203" priority="105" stopIfTrue="1">
      <formula>#REF!&lt;#REF!</formula>
    </cfRule>
    <cfRule type="expression" dxfId="202" priority="104" stopIfTrue="1">
      <formula>#REF!&gt;#REF!</formula>
    </cfRule>
  </conditionalFormatting>
  <conditionalFormatting sqref="CO4:CQ27 CO32:CQ35">
    <cfRule type="expression" dxfId="201" priority="1267" stopIfTrue="1">
      <formula>ISBLANK(A1)</formula>
    </cfRule>
  </conditionalFormatting>
  <conditionalFormatting sqref="CO28:CQ31">
    <cfRule type="expression" dxfId="200" priority="1269" stopIfTrue="1">
      <formula>ISBLANK(A1)</formula>
    </cfRule>
  </conditionalFormatting>
  <conditionalFormatting sqref="CO39:CQ39 CO43:CQ43 CO47:CQ47 CO51:CQ59 CO64:CQ67">
    <cfRule type="expression" dxfId="199" priority="1187" stopIfTrue="1">
      <formula>ISBLANK(A4)</formula>
    </cfRule>
  </conditionalFormatting>
  <conditionalFormatting sqref="CO60:CQ63">
    <cfRule type="expression" dxfId="198" priority="1192" stopIfTrue="1">
      <formula>ISBLANK(A1)</formula>
    </cfRule>
  </conditionalFormatting>
  <conditionalFormatting sqref="CQ36:CQ38 CQ40:CQ42 CQ44:CQ46 CQ48:CQ50">
    <cfRule type="expression" dxfId="197" priority="431" stopIfTrue="1">
      <formula>ISBLANK(B1)</formula>
    </cfRule>
  </conditionalFormatting>
  <conditionalFormatting sqref="CS36:CT38">
    <cfRule type="expression" dxfId="196" priority="127" stopIfTrue="1">
      <formula>#REF!&lt;#REF!</formula>
    </cfRule>
    <cfRule type="expression" dxfId="195" priority="126" stopIfTrue="1">
      <formula>#REF!&gt;#REF!</formula>
    </cfRule>
  </conditionalFormatting>
  <conditionalFormatting sqref="CS40:CT42">
    <cfRule type="expression" dxfId="194" priority="124" stopIfTrue="1">
      <formula>#REF!&gt;#REF!</formula>
    </cfRule>
    <cfRule type="expression" dxfId="193" priority="125" stopIfTrue="1">
      <formula>#REF!&lt;#REF!</formula>
    </cfRule>
  </conditionalFormatting>
  <conditionalFormatting sqref="CS44:CT46">
    <cfRule type="expression" dxfId="192" priority="123" stopIfTrue="1">
      <formula>#REF!&lt;#REF!</formula>
    </cfRule>
    <cfRule type="expression" dxfId="191" priority="122" stopIfTrue="1">
      <formula>#REF!&gt;#REF!</formula>
    </cfRule>
  </conditionalFormatting>
  <conditionalFormatting sqref="CS48:CT50">
    <cfRule type="expression" dxfId="190" priority="121" stopIfTrue="1">
      <formula>#REF!&lt;#REF!</formula>
    </cfRule>
    <cfRule type="expression" dxfId="189" priority="120" stopIfTrue="1">
      <formula>#REF!&gt;#REF!</formula>
    </cfRule>
  </conditionalFormatting>
  <conditionalFormatting sqref="CS4:CU27 CS32:CU35">
    <cfRule type="expression" dxfId="188" priority="1270" stopIfTrue="1">
      <formula>ISBLANK(A1)</formula>
    </cfRule>
  </conditionalFormatting>
  <conditionalFormatting sqref="CS28:CU31">
    <cfRule type="expression" dxfId="187" priority="1272" stopIfTrue="1">
      <formula>ISBLANK(A1)</formula>
    </cfRule>
  </conditionalFormatting>
  <conditionalFormatting sqref="CS39:CU39 CS43:CU43 CS47:CU47 CS51:CU59 CS64:CU67">
    <cfRule type="expression" dxfId="186" priority="1193" stopIfTrue="1">
      <formula>ISBLANK(A4)</formula>
    </cfRule>
  </conditionalFormatting>
  <conditionalFormatting sqref="CS60:CU63">
    <cfRule type="expression" dxfId="185" priority="1198" stopIfTrue="1">
      <formula>ISBLANK(A1)</formula>
    </cfRule>
  </conditionalFormatting>
  <conditionalFormatting sqref="CU36:CU38 CU40:CU42 CU44:CU46 CU48:CU50">
    <cfRule type="expression" dxfId="184" priority="429" stopIfTrue="1">
      <formula>ISBLANK(B1)</formula>
    </cfRule>
  </conditionalFormatting>
  <conditionalFormatting sqref="CW36:CX38">
    <cfRule type="expression" dxfId="183" priority="132" stopIfTrue="1">
      <formula>#REF!&gt;#REF!</formula>
    </cfRule>
    <cfRule type="expression" dxfId="182" priority="133" stopIfTrue="1">
      <formula>#REF!&lt;#REF!</formula>
    </cfRule>
  </conditionalFormatting>
  <conditionalFormatting sqref="CW40:CX42">
    <cfRule type="expression" dxfId="181" priority="130" stopIfTrue="1">
      <formula>#REF!&gt;#REF!</formula>
    </cfRule>
    <cfRule type="expression" dxfId="180" priority="131" stopIfTrue="1">
      <formula>#REF!&lt;#REF!</formula>
    </cfRule>
  </conditionalFormatting>
  <conditionalFormatting sqref="CW44:CX46">
    <cfRule type="expression" dxfId="179" priority="128" stopIfTrue="1">
      <formula>#REF!&gt;#REF!</formula>
    </cfRule>
    <cfRule type="expression" dxfId="178" priority="129" stopIfTrue="1">
      <formula>#REF!&lt;#REF!</formula>
    </cfRule>
  </conditionalFormatting>
  <conditionalFormatting sqref="CW4:CY27 CW32:CY35">
    <cfRule type="expression" dxfId="177" priority="1273" stopIfTrue="1">
      <formula>ISBLANK(A1)</formula>
    </cfRule>
  </conditionalFormatting>
  <conditionalFormatting sqref="CW28:CY31">
    <cfRule type="expression" dxfId="176" priority="1275" stopIfTrue="1">
      <formula>ISBLANK(A1)</formula>
    </cfRule>
  </conditionalFormatting>
  <conditionalFormatting sqref="CW39:CY39 CW43:CY43 CW47:CY59 CW64:CY67">
    <cfRule type="expression" dxfId="175" priority="1199" stopIfTrue="1">
      <formula>ISBLANK(A4)</formula>
    </cfRule>
  </conditionalFormatting>
  <conditionalFormatting sqref="CW60:CY63">
    <cfRule type="expression" dxfId="174" priority="1203" stopIfTrue="1">
      <formula>ISBLANK(A1)</formula>
    </cfRule>
  </conditionalFormatting>
  <conditionalFormatting sqref="CY36:CY38 CY40:CY42 CY44:CY46">
    <cfRule type="expression" dxfId="173" priority="427" stopIfTrue="1">
      <formula>ISBLANK(B1)</formula>
    </cfRule>
  </conditionalFormatting>
  <conditionalFormatting sqref="DA36:DB38">
    <cfRule type="expression" dxfId="172" priority="37" stopIfTrue="1">
      <formula>#REF!&lt;#REF!</formula>
    </cfRule>
    <cfRule type="expression" dxfId="171" priority="36" stopIfTrue="1">
      <formula>#REF!&gt;#REF!</formula>
    </cfRule>
  </conditionalFormatting>
  <conditionalFormatting sqref="DA40:DB42">
    <cfRule type="expression" dxfId="170" priority="35" stopIfTrue="1">
      <formula>#REF!&lt;#REF!</formula>
    </cfRule>
    <cfRule type="expression" dxfId="169" priority="34" stopIfTrue="1">
      <formula>#REF!&gt;#REF!</formula>
    </cfRule>
  </conditionalFormatting>
  <conditionalFormatting sqref="DA44:DB46">
    <cfRule type="expression" dxfId="168" priority="33" stopIfTrue="1">
      <formula>#REF!&lt;#REF!</formula>
    </cfRule>
    <cfRule type="expression" dxfId="167" priority="32" stopIfTrue="1">
      <formula>#REF!&gt;#REF!</formula>
    </cfRule>
  </conditionalFormatting>
  <conditionalFormatting sqref="DA4:DC27 DA32:DC35">
    <cfRule type="expression" dxfId="166" priority="39" stopIfTrue="1">
      <formula>ISBLANK(D1)</formula>
    </cfRule>
  </conditionalFormatting>
  <conditionalFormatting sqref="DA28:DC31">
    <cfRule type="expression" dxfId="165" priority="38" stopIfTrue="1">
      <formula>ISBLANK(D1)</formula>
    </cfRule>
  </conditionalFormatting>
  <conditionalFormatting sqref="DA60:DC63">
    <cfRule type="expression" dxfId="164" priority="40" stopIfTrue="1">
      <formula>ISBLANK(D1)</formula>
    </cfRule>
  </conditionalFormatting>
  <conditionalFormatting sqref="DC36:DC38 DA39:DC39 DC40:DC42 DA43:DC43 DC44:DC46 DA47:DC59 DA64:DC67">
    <cfRule type="expression" dxfId="163" priority="41" stopIfTrue="1">
      <formula>ISBLANK(D1)</formula>
    </cfRule>
  </conditionalFormatting>
  <conditionalFormatting sqref="DE36:DF38">
    <cfRule type="expression" dxfId="162" priority="26" stopIfTrue="1">
      <formula>#REF!&lt;#REF!</formula>
    </cfRule>
    <cfRule type="expression" dxfId="161" priority="25" stopIfTrue="1">
      <formula>#REF!&gt;#REF!</formula>
    </cfRule>
  </conditionalFormatting>
  <conditionalFormatting sqref="DE40:DF42">
    <cfRule type="expression" dxfId="160" priority="23" stopIfTrue="1">
      <formula>#REF!&gt;#REF!</formula>
    </cfRule>
    <cfRule type="expression" dxfId="159" priority="24" stopIfTrue="1">
      <formula>#REF!&lt;#REF!</formula>
    </cfRule>
  </conditionalFormatting>
  <conditionalFormatting sqref="DE44:DF46">
    <cfRule type="expression" dxfId="158" priority="21" stopIfTrue="1">
      <formula>#REF!&gt;#REF!</formula>
    </cfRule>
    <cfRule type="expression" dxfId="157" priority="22" stopIfTrue="1">
      <formula>#REF!&lt;#REF!</formula>
    </cfRule>
  </conditionalFormatting>
  <conditionalFormatting sqref="DE4:DG27 DE32:DG35">
    <cfRule type="expression" dxfId="156" priority="30" stopIfTrue="1">
      <formula>ISBLANK(I1)</formula>
    </cfRule>
  </conditionalFormatting>
  <conditionalFormatting sqref="DE28:DG31">
    <cfRule type="expression" dxfId="155" priority="31" stopIfTrue="1">
      <formula>ISBLANK(I1)</formula>
    </cfRule>
  </conditionalFormatting>
  <conditionalFormatting sqref="DE39:DG39 DE43:DG43 DE47:DG59 DE64:DG67">
    <cfRule type="expression" dxfId="154" priority="28" stopIfTrue="1">
      <formula>ISBLANK(I4)</formula>
    </cfRule>
  </conditionalFormatting>
  <conditionalFormatting sqref="DE60:DG63">
    <cfRule type="expression" dxfId="153" priority="29" stopIfTrue="1">
      <formula>ISBLANK(I1)</formula>
    </cfRule>
  </conditionalFormatting>
  <conditionalFormatting sqref="DG36:DG38 DG40:DG42 DG44:DG46">
    <cfRule type="expression" dxfId="152" priority="27" stopIfTrue="1">
      <formula>ISBLANK(J1)</formula>
    </cfRule>
  </conditionalFormatting>
  <conditionalFormatting sqref="DI36:DJ38">
    <cfRule type="expression" dxfId="151" priority="16" stopIfTrue="1">
      <formula>#REF!&lt;#REF!</formula>
    </cfRule>
    <cfRule type="expression" dxfId="150" priority="15" stopIfTrue="1">
      <formula>#REF!&gt;#REF!</formula>
    </cfRule>
  </conditionalFormatting>
  <conditionalFormatting sqref="DI40:DJ42">
    <cfRule type="expression" dxfId="149" priority="14" stopIfTrue="1">
      <formula>#REF!&lt;#REF!</formula>
    </cfRule>
    <cfRule type="expression" dxfId="148" priority="13" stopIfTrue="1">
      <formula>#REF!&gt;#REF!</formula>
    </cfRule>
  </conditionalFormatting>
  <conditionalFormatting sqref="DI44:DJ46">
    <cfRule type="expression" dxfId="147" priority="12" stopIfTrue="1">
      <formula>#REF!&lt;#REF!</formula>
    </cfRule>
    <cfRule type="expression" dxfId="146" priority="11" stopIfTrue="1">
      <formula>#REF!&gt;#REF!</formula>
    </cfRule>
  </conditionalFormatting>
  <conditionalFormatting sqref="DI4:DK27 DI32:DK35">
    <cfRule type="expression" dxfId="145" priority="18" stopIfTrue="1">
      <formula>ISBLANK(L1)</formula>
    </cfRule>
  </conditionalFormatting>
  <conditionalFormatting sqref="DI28:DK31">
    <cfRule type="expression" dxfId="144" priority="17" stopIfTrue="1">
      <formula>ISBLANK(L1)</formula>
    </cfRule>
  </conditionalFormatting>
  <conditionalFormatting sqref="DI60:DK63">
    <cfRule type="expression" dxfId="143" priority="19" stopIfTrue="1">
      <formula>ISBLANK(L1)</formula>
    </cfRule>
  </conditionalFormatting>
  <conditionalFormatting sqref="DK36:DK38 DI39:DK39 DK40:DK42 DI43:DK43 DK44:DK46 DI47:DK59 DI64:DK67">
    <cfRule type="expression" dxfId="142" priority="20" stopIfTrue="1">
      <formula>ISBLANK(L1)</formula>
    </cfRule>
  </conditionalFormatting>
  <conditionalFormatting sqref="DM36:DN38">
    <cfRule type="expression" dxfId="141" priority="5" stopIfTrue="1">
      <formula>#REF!&gt;#REF!</formula>
    </cfRule>
    <cfRule type="expression" dxfId="140" priority="6" stopIfTrue="1">
      <formula>#REF!&lt;#REF!</formula>
    </cfRule>
  </conditionalFormatting>
  <conditionalFormatting sqref="DM40:DN42">
    <cfRule type="expression" dxfId="139" priority="3" stopIfTrue="1">
      <formula>#REF!&gt;#REF!</formula>
    </cfRule>
    <cfRule type="expression" dxfId="138" priority="4" stopIfTrue="1">
      <formula>#REF!&lt;#REF!</formula>
    </cfRule>
  </conditionalFormatting>
  <conditionalFormatting sqref="DM44:DN46">
    <cfRule type="expression" dxfId="137" priority="1" stopIfTrue="1">
      <formula>#REF!&gt;#REF!</formula>
    </cfRule>
    <cfRule type="expression" dxfId="136" priority="2" stopIfTrue="1">
      <formula>#REF!&lt;#REF!</formula>
    </cfRule>
  </conditionalFormatting>
  <conditionalFormatting sqref="DM4:DO27 DM32:DO35">
    <cfRule type="expression" dxfId="135" priority="8" stopIfTrue="1">
      <formula>ISBLANK(P1)</formula>
    </cfRule>
  </conditionalFormatting>
  <conditionalFormatting sqref="DM28:DO31">
    <cfRule type="expression" dxfId="134" priority="7" stopIfTrue="1">
      <formula>ISBLANK(P1)</formula>
    </cfRule>
  </conditionalFormatting>
  <conditionalFormatting sqref="DM60:DO63">
    <cfRule type="expression" dxfId="133" priority="9" stopIfTrue="1">
      <formula>ISBLANK(P1)</formula>
    </cfRule>
  </conditionalFormatting>
  <conditionalFormatting sqref="DO36:DO38 DM39:DO39 DO40:DO42 DM43:DO43 DO44:DO46 DM47:DO59 DM64:DO67">
    <cfRule type="expression" dxfId="132" priority="10" stopIfTrue="1">
      <formula>ISBLANK(P1)</formula>
    </cfRule>
  </conditionalFormatting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D6"/>
  <sheetViews>
    <sheetView zoomScale="85" zoomScaleNormal="85" zoomScalePageLayoutView="85" workbookViewId="0">
      <selection activeCell="D5" sqref="D5"/>
    </sheetView>
  </sheetViews>
  <sheetFormatPr baseColWidth="10" defaultColWidth="21.5" defaultRowHeight="13"/>
  <cols>
    <col min="1" max="1" width="4.5" customWidth="1"/>
    <col min="2" max="2" width="21.5" bestFit="1" customWidth="1"/>
    <col min="3" max="3" width="70.5" bestFit="1" customWidth="1"/>
    <col min="4" max="4" width="72" customWidth="1"/>
    <col min="5" max="254" width="11.5" customWidth="1"/>
    <col min="255" max="255" width="4.5" customWidth="1"/>
  </cols>
  <sheetData>
    <row r="1" spans="1:4" ht="18" customHeight="1">
      <c r="A1" s="170" t="s">
        <v>149</v>
      </c>
      <c r="B1" s="171"/>
      <c r="C1" s="171"/>
    </row>
    <row r="2" spans="1:4" ht="17" customHeight="1">
      <c r="A2" s="17" t="s">
        <v>150</v>
      </c>
      <c r="B2" s="17" t="s">
        <v>151</v>
      </c>
      <c r="C2" s="17" t="s">
        <v>152</v>
      </c>
      <c r="D2" s="17" t="s">
        <v>153</v>
      </c>
    </row>
    <row r="3" spans="1:4" ht="17" customHeight="1">
      <c r="A3" s="18">
        <v>1</v>
      </c>
      <c r="B3" s="18" t="s">
        <v>154</v>
      </c>
      <c r="C3" s="18" t="s">
        <v>155</v>
      </c>
      <c r="D3" s="18" t="s">
        <v>156</v>
      </c>
    </row>
    <row r="4" spans="1:4" ht="136" customHeight="1">
      <c r="A4" s="18">
        <v>2</v>
      </c>
      <c r="B4" s="18" t="s">
        <v>157</v>
      </c>
      <c r="C4" s="18" t="s">
        <v>158</v>
      </c>
      <c r="D4" s="18" t="s">
        <v>159</v>
      </c>
    </row>
    <row r="5" spans="1:4" ht="151" customHeight="1">
      <c r="A5" s="18">
        <v>3</v>
      </c>
      <c r="B5" s="18" t="s">
        <v>160</v>
      </c>
      <c r="C5" s="18" t="s">
        <v>161</v>
      </c>
      <c r="D5" s="18" t="s">
        <v>162</v>
      </c>
    </row>
    <row r="6" spans="1:4" ht="163" customHeight="1">
      <c r="A6" s="18">
        <v>4</v>
      </c>
      <c r="B6" s="18" t="s">
        <v>163</v>
      </c>
      <c r="C6" s="18" t="s">
        <v>164</v>
      </c>
      <c r="D6" s="18" t="s">
        <v>165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Rankings_old</vt:lpstr>
      <vt:lpstr>Rankings</vt:lpstr>
      <vt:lpstr>Names</vt:lpstr>
      <vt:lpstr>Group Stage</vt:lpstr>
      <vt:lpstr>Sheet1</vt:lpstr>
      <vt:lpstr>Playoff &amp; Winner</vt:lpstr>
      <vt:lpstr>Playoff Stage</vt:lpstr>
      <vt:lpstr>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Տիգրան</dc:creator>
  <cp:lastModifiedBy>Tigran Tshorokhyan</cp:lastModifiedBy>
  <dcterms:created xsi:type="dcterms:W3CDTF">2010-06-09T18:40:09Z</dcterms:created>
  <dcterms:modified xsi:type="dcterms:W3CDTF">2026-06-11T18:05:32Z</dcterms:modified>
</cp:coreProperties>
</file>